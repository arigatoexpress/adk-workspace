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THO\Current Inventory Invoices\"/>
    </mc:Choice>
  </mc:AlternateContent>
  <xr:revisionPtr revIDLastSave="0" documentId="13_ncr:1_{A6D2CE1D-A48F-4F14-BCF4-A4211BF4D020}" xr6:coauthVersionLast="47" xr6:coauthVersionMax="47" xr10:uidLastSave="{00000000-0000-0000-0000-000000000000}"/>
  <bookViews>
    <workbookView xWindow="35880" yWindow="-120" windowWidth="29040" windowHeight="16440" xr2:uid="{00000000-000D-0000-FFFF-FFFF00000000}"/>
  </bookViews>
  <sheets>
    <sheet name="Everybody Else" sheetId="1" r:id="rId1"/>
    <sheet name="Sold Stu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0dJamugfJl5HaNICjFAO6ynwI8knyk2Et18wglvQvs="/>
    </ext>
  </extLst>
</workbook>
</file>

<file path=xl/calcChain.xml><?xml version="1.0" encoding="utf-8"?>
<calcChain xmlns="http://schemas.openxmlformats.org/spreadsheetml/2006/main">
  <c r="G4" i="2" l="1"/>
  <c r="N4" i="2"/>
  <c r="G6" i="2"/>
  <c r="N6" i="2"/>
  <c r="F18" i="1"/>
  <c r="G53" i="2"/>
  <c r="N53" i="2"/>
  <c r="G54" i="2"/>
  <c r="N54" i="2"/>
  <c r="G92" i="2"/>
  <c r="N92" i="2"/>
  <c r="F26" i="1"/>
  <c r="G34" i="2"/>
  <c r="N34" i="2"/>
  <c r="G18" i="1"/>
  <c r="G24" i="1"/>
  <c r="G23" i="1"/>
  <c r="N8" i="2"/>
  <c r="G8" i="2"/>
  <c r="N7" i="2"/>
  <c r="G7" i="2"/>
  <c r="N9" i="2"/>
  <c r="G9" i="2"/>
  <c r="H18" i="1" l="1"/>
  <c r="F27" i="1"/>
  <c r="G15" i="1"/>
  <c r="H26" i="1"/>
  <c r="N11" i="2"/>
  <c r="G11" i="2"/>
  <c r="N12" i="2"/>
  <c r="G12" i="2"/>
  <c r="N15" i="2" l="1"/>
  <c r="G15" i="2"/>
  <c r="G27" i="1" l="1"/>
  <c r="N17" i="2" l="1"/>
  <c r="G17" i="2"/>
  <c r="N16" i="2"/>
  <c r="G16" i="2"/>
  <c r="N18" i="2" l="1"/>
  <c r="G18" i="2"/>
  <c r="N19" i="2" l="1"/>
  <c r="G19" i="2"/>
  <c r="N20" i="2"/>
  <c r="G20" i="2"/>
  <c r="G12" i="1"/>
  <c r="G11" i="1"/>
  <c r="G16" i="1"/>
  <c r="G22" i="1" l="1"/>
  <c r="G91" i="1"/>
  <c r="N23" i="2" l="1"/>
  <c r="G23" i="2"/>
  <c r="G87" i="1"/>
  <c r="G14" i="1"/>
  <c r="G90" i="1"/>
  <c r="N25" i="2"/>
  <c r="G25" i="2"/>
  <c r="N24" i="2"/>
  <c r="G24" i="2"/>
  <c r="G13" i="1"/>
  <c r="N26" i="2"/>
  <c r="G26" i="2"/>
  <c r="N27" i="2" l="1"/>
  <c r="G27" i="2"/>
  <c r="N30" i="2" l="1"/>
  <c r="G30" i="2"/>
  <c r="N31" i="2"/>
  <c r="G31" i="2"/>
  <c r="G97" i="1"/>
  <c r="G104" i="1"/>
  <c r="N35" i="2" l="1"/>
  <c r="G35" i="2"/>
  <c r="N36" i="2"/>
  <c r="G36" i="2"/>
  <c r="N38" i="2"/>
  <c r="G38" i="2"/>
  <c r="G10" i="1"/>
  <c r="G9" i="1"/>
  <c r="J18" i="1" l="1"/>
  <c r="G95" i="2"/>
  <c r="P95" i="2" s="1"/>
  <c r="N242" i="2"/>
  <c r="G242" i="2"/>
  <c r="N241" i="2"/>
  <c r="G241" i="2"/>
  <c r="N240" i="2"/>
  <c r="G240" i="2"/>
  <c r="N239" i="2"/>
  <c r="G239" i="2"/>
  <c r="N238" i="2"/>
  <c r="G238" i="2"/>
  <c r="N237" i="2"/>
  <c r="G237" i="2"/>
  <c r="N235" i="2"/>
  <c r="G235" i="2"/>
  <c r="N234" i="2"/>
  <c r="G234" i="2"/>
  <c r="N233" i="2"/>
  <c r="G233" i="2"/>
  <c r="N232" i="2"/>
  <c r="G232" i="2"/>
  <c r="N231" i="2"/>
  <c r="G231" i="2"/>
  <c r="N230" i="2"/>
  <c r="G230" i="2"/>
  <c r="N228" i="2"/>
  <c r="G228" i="2"/>
  <c r="N227" i="2"/>
  <c r="G227" i="2"/>
  <c r="N226" i="2"/>
  <c r="G226" i="2"/>
  <c r="G224" i="2"/>
  <c r="N223" i="2"/>
  <c r="G223" i="2"/>
  <c r="N222" i="2"/>
  <c r="G222" i="2"/>
  <c r="N221" i="2"/>
  <c r="G221" i="2"/>
  <c r="N220" i="2"/>
  <c r="N218" i="2"/>
  <c r="G218" i="2"/>
  <c r="N217" i="2"/>
  <c r="G217" i="2"/>
  <c r="G216" i="2"/>
  <c r="N215" i="2"/>
  <c r="G215" i="2"/>
  <c r="N214" i="2"/>
  <c r="G214" i="2"/>
  <c r="N213" i="2"/>
  <c r="G213" i="2"/>
  <c r="N212" i="2"/>
  <c r="G212" i="2"/>
  <c r="N211" i="2"/>
  <c r="G211" i="2"/>
  <c r="P210" i="2"/>
  <c r="N210" i="2"/>
  <c r="G210" i="2"/>
  <c r="N209" i="2"/>
  <c r="G209" i="2"/>
  <c r="N207" i="2"/>
  <c r="G207" i="2"/>
  <c r="N206" i="2"/>
  <c r="G206" i="2"/>
  <c r="N205" i="2"/>
  <c r="G205" i="2"/>
  <c r="N204" i="2"/>
  <c r="G204" i="2"/>
  <c r="N203" i="2"/>
  <c r="G203" i="2"/>
  <c r="P202" i="2"/>
  <c r="N202" i="2"/>
  <c r="G202" i="2"/>
  <c r="N201" i="2"/>
  <c r="G201" i="2"/>
  <c r="N200" i="2"/>
  <c r="G200" i="2"/>
  <c r="N199" i="2"/>
  <c r="G199" i="2"/>
  <c r="Q198" i="2"/>
  <c r="P198" i="2"/>
  <c r="N198" i="2"/>
  <c r="G198" i="2"/>
  <c r="N196" i="2"/>
  <c r="G196" i="2"/>
  <c r="N195" i="2"/>
  <c r="G195" i="2"/>
  <c r="N194" i="2"/>
  <c r="G194" i="2"/>
  <c r="G193" i="2"/>
  <c r="N192" i="2"/>
  <c r="G192" i="2"/>
  <c r="N191" i="2"/>
  <c r="G191" i="2"/>
  <c r="G190" i="2"/>
  <c r="N189" i="2"/>
  <c r="G189" i="2"/>
  <c r="N188" i="2"/>
  <c r="G188" i="2"/>
  <c r="N187" i="2"/>
  <c r="G187" i="2"/>
  <c r="G185" i="2"/>
  <c r="N184" i="2"/>
  <c r="G184" i="2"/>
  <c r="N183" i="2"/>
  <c r="G183" i="2"/>
  <c r="N182" i="2"/>
  <c r="G182" i="2"/>
  <c r="N181" i="2"/>
  <c r="G181" i="2"/>
  <c r="N180" i="2"/>
  <c r="G180" i="2"/>
  <c r="N179" i="2"/>
  <c r="G179" i="2"/>
  <c r="N178" i="2"/>
  <c r="G178" i="2"/>
  <c r="N176" i="2"/>
  <c r="G176" i="2"/>
  <c r="N175" i="2"/>
  <c r="G175" i="2"/>
  <c r="N174" i="2"/>
  <c r="G174" i="2"/>
  <c r="N173" i="2"/>
  <c r="G173" i="2"/>
  <c r="G172" i="2"/>
  <c r="N171" i="2"/>
  <c r="G171" i="2"/>
  <c r="N170" i="2"/>
  <c r="G170" i="2"/>
  <c r="N168" i="2"/>
  <c r="G168" i="2"/>
  <c r="N167" i="2"/>
  <c r="G167" i="2"/>
  <c r="N166" i="2"/>
  <c r="G166" i="2"/>
  <c r="G165" i="2"/>
  <c r="N164" i="2"/>
  <c r="G164" i="2"/>
  <c r="N163" i="2"/>
  <c r="G163" i="2"/>
  <c r="N162" i="2"/>
  <c r="G162" i="2"/>
  <c r="N160" i="2"/>
  <c r="G160" i="2"/>
  <c r="G159" i="2"/>
  <c r="N158" i="2"/>
  <c r="G158" i="2"/>
  <c r="N157" i="2"/>
  <c r="G157" i="2"/>
  <c r="N156" i="2"/>
  <c r="G156" i="2"/>
  <c r="N155" i="2"/>
  <c r="G155" i="2"/>
  <c r="N154" i="2"/>
  <c r="G154" i="2"/>
  <c r="N153" i="2"/>
  <c r="G153" i="2"/>
  <c r="N152" i="2"/>
  <c r="G152" i="2"/>
  <c r="N150" i="2"/>
  <c r="G150" i="2"/>
  <c r="P149" i="2"/>
  <c r="N149" i="2"/>
  <c r="G149" i="2"/>
  <c r="N148" i="2"/>
  <c r="G148" i="2"/>
  <c r="P147" i="2"/>
  <c r="N147" i="2"/>
  <c r="G147" i="2"/>
  <c r="N146" i="2"/>
  <c r="G146" i="2"/>
  <c r="N145" i="2"/>
  <c r="G145" i="2"/>
  <c r="G144" i="2"/>
  <c r="N142" i="2"/>
  <c r="G142" i="2"/>
  <c r="N141" i="2"/>
  <c r="G141" i="2"/>
  <c r="N140" i="2"/>
  <c r="G140" i="2"/>
  <c r="G139" i="2"/>
  <c r="N138" i="2"/>
  <c r="N136" i="2"/>
  <c r="N135" i="2"/>
  <c r="G135" i="2"/>
  <c r="N134" i="2"/>
  <c r="G134" i="2"/>
  <c r="G133" i="2"/>
  <c r="N132" i="2"/>
  <c r="G132" i="2"/>
  <c r="N130" i="2"/>
  <c r="G130" i="2"/>
  <c r="N129" i="2"/>
  <c r="G129" i="2"/>
  <c r="N128" i="2"/>
  <c r="G128" i="2"/>
  <c r="N126" i="2"/>
  <c r="G126" i="2"/>
  <c r="N125" i="2"/>
  <c r="G125" i="2"/>
  <c r="N124" i="2"/>
  <c r="G124" i="2"/>
  <c r="N123" i="2"/>
  <c r="G123" i="2"/>
  <c r="N122" i="2"/>
  <c r="G122" i="2"/>
  <c r="N121" i="2"/>
  <c r="G121" i="2"/>
  <c r="N120" i="2"/>
  <c r="G120" i="2"/>
  <c r="N119" i="2"/>
  <c r="G119" i="2"/>
  <c r="Q119" i="2" s="1"/>
  <c r="N118" i="2"/>
  <c r="G118" i="2"/>
  <c r="Q118" i="2" s="1"/>
  <c r="N117" i="2"/>
  <c r="G117" i="2"/>
  <c r="Q117" i="2" s="1"/>
  <c r="N116" i="2"/>
  <c r="G116" i="2"/>
  <c r="N115" i="2"/>
  <c r="G115" i="2"/>
  <c r="Q115" i="2" s="1"/>
  <c r="N113" i="2"/>
  <c r="G113" i="2"/>
  <c r="N112" i="2"/>
  <c r="G112" i="2"/>
  <c r="Q112" i="2" s="1"/>
  <c r="N111" i="2"/>
  <c r="G111" i="2"/>
  <c r="Q111" i="2" s="1"/>
  <c r="N110" i="2"/>
  <c r="G110" i="2"/>
  <c r="Q110" i="2" s="1"/>
  <c r="N109" i="2"/>
  <c r="G109" i="2"/>
  <c r="Q109" i="2" s="1"/>
  <c r="N108" i="2"/>
  <c r="G108" i="2"/>
  <c r="Q108" i="2" s="1"/>
  <c r="N106" i="2"/>
  <c r="G106" i="2"/>
  <c r="Q106" i="2" s="1"/>
  <c r="N105" i="2"/>
  <c r="G105" i="2"/>
  <c r="Q105" i="2" s="1"/>
  <c r="N104" i="2"/>
  <c r="G104" i="2"/>
  <c r="P104" i="2" s="1"/>
  <c r="N103" i="2"/>
  <c r="G103" i="2"/>
  <c r="P103" i="2" s="1"/>
  <c r="N102" i="2"/>
  <c r="G102" i="2"/>
  <c r="N101" i="2"/>
  <c r="G101" i="2"/>
  <c r="P101" i="2" s="1"/>
  <c r="N100" i="2"/>
  <c r="G100" i="2"/>
  <c r="P100" i="2" s="1"/>
  <c r="N98" i="2"/>
  <c r="G98" i="2"/>
  <c r="N97" i="2"/>
  <c r="G97" i="2"/>
  <c r="P97" i="2" s="1"/>
  <c r="N96" i="2"/>
  <c r="G96" i="2"/>
  <c r="P96" i="2" s="1"/>
  <c r="N95" i="2"/>
  <c r="G94" i="2"/>
  <c r="N93" i="2"/>
  <c r="G93" i="2"/>
  <c r="P93" i="2" s="1"/>
  <c r="N91" i="2"/>
  <c r="G91" i="2"/>
  <c r="P91" i="2" s="1"/>
  <c r="N89" i="2"/>
  <c r="G89" i="2"/>
  <c r="P89" i="2" s="1"/>
  <c r="N88" i="2"/>
  <c r="G88" i="2"/>
  <c r="N87" i="2"/>
  <c r="G87" i="2"/>
  <c r="P87" i="2" s="1"/>
  <c r="N86" i="2"/>
  <c r="G86" i="2"/>
  <c r="P86" i="2" s="1"/>
  <c r="G85" i="2"/>
  <c r="N84" i="2"/>
  <c r="G84" i="2"/>
  <c r="P84" i="2" s="1"/>
  <c r="N83" i="2"/>
  <c r="G83" i="2"/>
  <c r="N82" i="2"/>
  <c r="G82" i="2"/>
  <c r="P82" i="2" s="1"/>
  <c r="N80" i="2"/>
  <c r="G80" i="2"/>
  <c r="N78" i="2"/>
  <c r="G78" i="2"/>
  <c r="N76" i="2"/>
  <c r="G76" i="2"/>
  <c r="G75" i="2"/>
  <c r="N74" i="2"/>
  <c r="G74" i="2"/>
  <c r="P74" i="2" s="1"/>
  <c r="G73" i="2"/>
  <c r="N70" i="2"/>
  <c r="G70" i="2"/>
  <c r="N69" i="2"/>
  <c r="G69" i="2"/>
  <c r="M68" i="2"/>
  <c r="N68" i="2" s="1"/>
  <c r="G68" i="2"/>
  <c r="N67" i="2"/>
  <c r="G67" i="2"/>
  <c r="P67" i="2" s="1"/>
  <c r="N66" i="2"/>
  <c r="G66" i="2"/>
  <c r="N65" i="2"/>
  <c r="G65" i="2"/>
  <c r="G64" i="2"/>
  <c r="G63" i="2"/>
  <c r="N62" i="2"/>
  <c r="G62" i="2"/>
  <c r="N61" i="2"/>
  <c r="G61" i="2"/>
  <c r="N60" i="2"/>
  <c r="G60" i="2"/>
  <c r="G58" i="2"/>
  <c r="N57" i="2"/>
  <c r="G57" i="2"/>
  <c r="N56" i="2"/>
  <c r="G56" i="2"/>
  <c r="N55" i="2"/>
  <c r="G55" i="2"/>
  <c r="N51" i="2"/>
  <c r="G51" i="2"/>
  <c r="N50" i="2"/>
  <c r="G50" i="2"/>
  <c r="G49" i="2"/>
  <c r="N48" i="2"/>
  <c r="G48" i="2"/>
  <c r="N47" i="2"/>
  <c r="G47" i="2"/>
  <c r="N46" i="2"/>
  <c r="G46" i="2"/>
  <c r="N45" i="2"/>
  <c r="G45" i="2"/>
  <c r="G44" i="2"/>
  <c r="N41" i="2"/>
  <c r="G41" i="2"/>
  <c r="N43" i="2"/>
  <c r="G43" i="2"/>
  <c r="N39" i="2"/>
  <c r="G39" i="2"/>
  <c r="G291" i="1"/>
  <c r="G255" i="1"/>
  <c r="G254" i="1"/>
  <c r="G131" i="1"/>
  <c r="G78" i="1"/>
  <c r="G8" i="1"/>
  <c r="G7" i="1"/>
  <c r="G6" i="1"/>
  <c r="G5" i="1"/>
  <c r="G4" i="1"/>
  <c r="G3" i="1"/>
  <c r="H27" i="1"/>
  <c r="J27" i="1" l="1"/>
</calcChain>
</file>

<file path=xl/sharedStrings.xml><?xml version="1.0" encoding="utf-8"?>
<sst xmlns="http://schemas.openxmlformats.org/spreadsheetml/2006/main" count="2304" uniqueCount="1235">
  <si>
    <t>Current Inventory</t>
  </si>
  <si>
    <t>Serial #</t>
  </si>
  <si>
    <t>Manufacturing Plant</t>
  </si>
  <si>
    <t>Model</t>
  </si>
  <si>
    <t>Invoice Date</t>
  </si>
  <si>
    <t>Invoice Amount</t>
  </si>
  <si>
    <t>MSRP</t>
  </si>
  <si>
    <t>Customer</t>
  </si>
  <si>
    <t>Salesman</t>
  </si>
  <si>
    <t>Customer #</t>
  </si>
  <si>
    <t>Expires</t>
  </si>
  <si>
    <t>Tru Belton</t>
  </si>
  <si>
    <t>Triumph Smart 28x76</t>
  </si>
  <si>
    <t>Benjamin Zenteno</t>
  </si>
  <si>
    <t>Adriana</t>
  </si>
  <si>
    <t>owes $</t>
  </si>
  <si>
    <t>owes us 3,100, $600 on 6/30</t>
  </si>
  <si>
    <t>Glory Smart</t>
  </si>
  <si>
    <t>Dania Reyes Rios</t>
  </si>
  <si>
    <t>Sergio</t>
  </si>
  <si>
    <t>Dean Deanda, he owes us 3,000, $250 8/1.</t>
  </si>
  <si>
    <t>Jessup Housing</t>
  </si>
  <si>
    <t>Nassau 28x48 3/2</t>
  </si>
  <si>
    <t>Johanys Ruiz</t>
  </si>
  <si>
    <t>owes 2,000</t>
  </si>
  <si>
    <t>freight 3082</t>
  </si>
  <si>
    <t>Rosewood 28x64 5/2</t>
  </si>
  <si>
    <t>Delight Smartpanel WZ2</t>
  </si>
  <si>
    <t>Ruandy Martin Mtz</t>
  </si>
  <si>
    <t>Delight Smartpanel</t>
  </si>
  <si>
    <t>Marvel 4 Smartpanel 28x56</t>
  </si>
  <si>
    <t xml:space="preserve">Adriana </t>
  </si>
  <si>
    <t>Clayton Epic</t>
  </si>
  <si>
    <t>Expedition 28x60 4/2 WZ2</t>
  </si>
  <si>
    <t>Storage</t>
  </si>
  <si>
    <t>Jessie Lara</t>
  </si>
  <si>
    <t>Lee</t>
  </si>
  <si>
    <t>Satisfaction Smartpanel 28x48</t>
  </si>
  <si>
    <t xml:space="preserve">Juan Rivera </t>
  </si>
  <si>
    <t>Elation Smart 14x66</t>
  </si>
  <si>
    <t>Mariner 16x80 3/2</t>
  </si>
  <si>
    <t>Champion LA</t>
  </si>
  <si>
    <t>Creole 32x60 3/2</t>
  </si>
  <si>
    <t>Elizabeth Rdz Matos</t>
  </si>
  <si>
    <t>Waco II Schult</t>
  </si>
  <si>
    <t>El Capitan 32x56 3/2</t>
  </si>
  <si>
    <t>Jackson 16x80</t>
  </si>
  <si>
    <t>2022 14x60 Delight, Orellana Repo</t>
  </si>
  <si>
    <t>NTA2081959</t>
  </si>
  <si>
    <t>Legacy</t>
  </si>
  <si>
    <t>Was Kyle</t>
  </si>
  <si>
    <t>NTA1746123</t>
  </si>
  <si>
    <t>was Brittany Fiedler</t>
  </si>
  <si>
    <t>Oakwood</t>
  </si>
  <si>
    <t>1998 28x48</t>
  </si>
  <si>
    <t>Riley Tradein</t>
  </si>
  <si>
    <t>NTA0753935/6</t>
  </si>
  <si>
    <t>Clayton SS</t>
  </si>
  <si>
    <t>Anatolia XL 4br 28x68</t>
  </si>
  <si>
    <t>total</t>
  </si>
  <si>
    <t>stock</t>
  </si>
  <si>
    <t>sold</t>
  </si>
  <si>
    <t>PT78 (vinyl) 28x56</t>
  </si>
  <si>
    <t>Triumph Smartpanel 28x76 WZII</t>
  </si>
  <si>
    <t>Martin Fuentes Rocha</t>
  </si>
  <si>
    <t>Tru Alabama</t>
  </si>
  <si>
    <t>Oak Creek</t>
  </si>
  <si>
    <t>Model 2306, 28x62, 4 BR Porch model flipped so hitch is at gate</t>
  </si>
  <si>
    <t>Mirian Berlios</t>
  </si>
  <si>
    <t>Marvin Escobar Bonilla</t>
  </si>
  <si>
    <t>he appears to be back in, maybe next wk…, we have  $6,000</t>
  </si>
  <si>
    <t>Claudia Dubon</t>
  </si>
  <si>
    <t>Brizuela Garcia</t>
  </si>
  <si>
    <t>Joshua Choice</t>
  </si>
  <si>
    <t>Adolofo Rmz Bueno</t>
  </si>
  <si>
    <t>no clue, 122k</t>
  </si>
  <si>
    <t>Juan Figueredo Robles</t>
  </si>
  <si>
    <t>Denial</t>
  </si>
  <si>
    <t>35% denial</t>
  </si>
  <si>
    <t>another motorcycle guy, has only 5k down, needs DW 4/3 or 5/3, maybe used Riley house</t>
  </si>
  <si>
    <t>Arthur Hudson</t>
  </si>
  <si>
    <t>25% denial</t>
  </si>
  <si>
    <t>Motorcycle guy</t>
  </si>
  <si>
    <t>Adrani Pena</t>
  </si>
  <si>
    <t>35% down, maybe used</t>
  </si>
  <si>
    <t>Brandon Diaz</t>
  </si>
  <si>
    <t>pending</t>
  </si>
  <si>
    <t>Counteroffer 10% down on 96k SW, building pad, not answering, super weird</t>
  </si>
  <si>
    <t>Gloria Marinez Vazquez</t>
  </si>
  <si>
    <t>now 10% denial, counteroffer expired because it was never accepted</t>
  </si>
  <si>
    <t>Says triad is giving her 9 something, want big home, wait until credit gets better</t>
  </si>
  <si>
    <t>Yadira Santos Baez</t>
  </si>
  <si>
    <t>need new checkstub, argued about credit, 593 lots of 30/60/90 on CC</t>
  </si>
  <si>
    <t>15%, maybe 43,500 MTF</t>
  </si>
  <si>
    <t>San Juana Manzano Loza</t>
  </si>
  <si>
    <t>denial 15%</t>
  </si>
  <si>
    <t>might come back at 20, very little budget, housing ratio 65%</t>
  </si>
  <si>
    <t>25% down</t>
  </si>
  <si>
    <t>Yamilia Reyna</t>
  </si>
  <si>
    <t>denial 25%</t>
  </si>
  <si>
    <t>Penelope Arias Barber</t>
  </si>
  <si>
    <t>submitted on Orellana Repo, might move to 21st deal on new delight</t>
  </si>
  <si>
    <t>Manuel Vega Lopez</t>
  </si>
  <si>
    <t>Martinez Machado</t>
  </si>
  <si>
    <t>Feb house, he had accident, work problem, we have 3k, land ready, re-approved at 20%</t>
  </si>
  <si>
    <t>Satisfaction</t>
  </si>
  <si>
    <t>approved with 15%, maybe tax money at end of this week, maybe Satisfaction, no $ yet</t>
  </si>
  <si>
    <t>adding Febe Puerto Rivera</t>
  </si>
  <si>
    <t>Gerson Murillo</t>
  </si>
  <si>
    <t>on this package 14,000</t>
  </si>
  <si>
    <t>Delight</t>
  </si>
  <si>
    <t>might want delight, has debt problem with car payments, might look at THO</t>
  </si>
  <si>
    <t>Maria Quezada</t>
  </si>
  <si>
    <t>denial</t>
  </si>
  <si>
    <t>supposed to come in and do THO, now in Mexico, daughter in Gym, still might do</t>
  </si>
  <si>
    <t>Triumph</t>
  </si>
  <si>
    <t>trying for triumph, think this is the guy who is going to go talk to dad</t>
  </si>
  <si>
    <t>Jaime Aguilar</t>
  </si>
  <si>
    <t>waiting on 401k</t>
  </si>
  <si>
    <t>this is the guy who wanted smaller house so had to less paperwork</t>
  </si>
  <si>
    <t>Rony Leiva</t>
  </si>
  <si>
    <t>again, now 15.1 down, was Triumph guy and daughter 2864327</t>
  </si>
  <si>
    <t>sold %</t>
  </si>
  <si>
    <t>Dead Deals</t>
  </si>
  <si>
    <t>we made a deal on a smartpanel Elation at 52,800 cash, but she has to find somewhere to put it</t>
  </si>
  <si>
    <t>Deborah</t>
  </si>
  <si>
    <t>cash at 52.8k?</t>
  </si>
  <si>
    <t>we have 5k, this is the lady with trash truck</t>
  </si>
  <si>
    <t>9/5 phone changed</t>
  </si>
  <si>
    <t>Landhome Jessup SW, livingston</t>
  </si>
  <si>
    <t>Crystal Thurman</t>
  </si>
  <si>
    <t>9/5 no answer</t>
  </si>
  <si>
    <t>Getting nervous, trying to bail out already.  We would move used house over, submitted Jessup DW</t>
  </si>
  <si>
    <t>Rafael Flores Ortez</t>
  </si>
  <si>
    <t>nothing cleared</t>
  </si>
  <si>
    <t>called 9/5, no ans</t>
  </si>
  <si>
    <t>want 4 br, look at Marvel in storage, this is Covid lady</t>
  </si>
  <si>
    <t>Velasco Velasco</t>
  </si>
  <si>
    <t>adding Martin Chavez Ortiz 3435529, if expired will go to at least 20%</t>
  </si>
  <si>
    <t>now doesn’t want new vision, asking about Monarch</t>
  </si>
  <si>
    <t>name actually Tom, Quote said Smith</t>
  </si>
  <si>
    <t>he can't seem to find time</t>
  </si>
  <si>
    <t>ben said 138k</t>
  </si>
  <si>
    <t>denial says 20% on 92,900, Thomas said 16,000 would work</t>
  </si>
  <si>
    <t>Enrique Diaz Hdz</t>
  </si>
  <si>
    <t>20% call</t>
  </si>
  <si>
    <t>out, but still working</t>
  </si>
  <si>
    <t>likes madison, etc, then went to see house with old customer, then on Sunday they said never mind</t>
  </si>
  <si>
    <t>Amy Marrero</t>
  </si>
  <si>
    <t>Counteroffer</t>
  </si>
  <si>
    <t>168k at 10%, property fight</t>
  </si>
  <si>
    <t>same family</t>
  </si>
  <si>
    <t>568 credit score, nothing terrible, but cc over max, going with this family member</t>
  </si>
  <si>
    <t>Jose Trevino</t>
  </si>
  <si>
    <t>go with this guy, WZ2 Satisfaction</t>
  </si>
  <si>
    <t>resubmitted, on SW</t>
  </si>
  <si>
    <t>Sandra Trevino</t>
  </si>
  <si>
    <t>maybe with some SSI additional….</t>
  </si>
  <si>
    <t>now maybe triumph, WZ2 and need BFE, this is the city of Houston Employee</t>
  </si>
  <si>
    <t>Javier Lopez</t>
  </si>
  <si>
    <t>adding somebody, but denial</t>
  </si>
  <si>
    <t>this is the guy who doesn't use his vehichle stipend, maybe if we could payoff some little ones</t>
  </si>
  <si>
    <t>Belkis Fdz Rdz</t>
  </si>
  <si>
    <t>trying hail mary with Automhatic</t>
  </si>
  <si>
    <t>this is to add to Abrego on Delight</t>
  </si>
  <si>
    <t>Linda Ibarra</t>
  </si>
  <si>
    <t>35% Denial</t>
  </si>
  <si>
    <t>this was mother to go with Abrego, has 501 credit</t>
  </si>
  <si>
    <t>no clue yet</t>
  </si>
  <si>
    <t>Francisco Abrego</t>
  </si>
  <si>
    <t>516 Credit Score, pd late, closed card…  hard 25%</t>
  </si>
  <si>
    <t>got letter</t>
  </si>
  <si>
    <t>96900 singlewide with 5%, need to find property, don't want T.H., ex husband lives there</t>
  </si>
  <si>
    <t>Carlos Vazquez Arreola</t>
  </si>
  <si>
    <t>she wanted to come in….</t>
  </si>
  <si>
    <t>approved at 74,700, cant figure out she is approved and is going to come see houses…</t>
  </si>
  <si>
    <t>Amanda Rogers</t>
  </si>
  <si>
    <t>kind of on hold</t>
  </si>
  <si>
    <t>on used SW of ours at 46k</t>
  </si>
  <si>
    <t>Murray Sinclair 865-801-9261</t>
  </si>
  <si>
    <t>Kelia Lagos Nunez</t>
  </si>
  <si>
    <t>she wants to save downpayment first, need employment cleared</t>
  </si>
  <si>
    <t>Pedro Diaz</t>
  </si>
  <si>
    <t>denial 35%</t>
  </si>
  <si>
    <t>463 and 468</t>
  </si>
  <si>
    <t>Denied at 59k, 25% down</t>
  </si>
  <si>
    <t>Celeste Gonzalez</t>
  </si>
  <si>
    <t>out</t>
  </si>
  <si>
    <t>they are going to put  the house up for sale later</t>
  </si>
  <si>
    <t>Luis Tejeda Cruz</t>
  </si>
  <si>
    <t>straight denial</t>
  </si>
  <si>
    <t>with house payment removed, still not, but Thomas will look at tax returns</t>
  </si>
  <si>
    <t>shes out</t>
  </si>
  <si>
    <t>if she expires, will go to 35%</t>
  </si>
  <si>
    <t>Yessenia Yanez Aguirre</t>
  </si>
  <si>
    <t>2 job lady, hospice cleared, now to get Diaz Cleaning, 501 credit, will be 35% after expiration</t>
  </si>
  <si>
    <t>Special order oak creek porch for August, approved at 145k</t>
  </si>
  <si>
    <t>Kenia Dubon</t>
  </si>
  <si>
    <t>either change home or she is out, shower problem</t>
  </si>
  <si>
    <t>Alexis Crew</t>
  </si>
  <si>
    <t>denial 20%</t>
  </si>
  <si>
    <t>20% on 92,000</t>
  </si>
  <si>
    <t>they want out</t>
  </si>
  <si>
    <t>wanted to see Adr in the bathtub as mermaid, income was cleared</t>
  </si>
  <si>
    <t>Calderon Hdz</t>
  </si>
  <si>
    <t>Adriana/Sergio</t>
  </si>
  <si>
    <t>Giovani</t>
  </si>
  <si>
    <t>Sazerac 32x64 - 7 weeks out 7/21-7/28</t>
  </si>
  <si>
    <t>Cintya Medrano</t>
  </si>
  <si>
    <t>sell at 170k ,no ac, approved at 0% but we will give 5% tradein (8,500)</t>
  </si>
  <si>
    <t>they have VOEs, LL Waiver, Tru DW at 86,500</t>
  </si>
  <si>
    <t>Brisa Rebollar</t>
  </si>
  <si>
    <t>Lee/Adi</t>
  </si>
  <si>
    <t>be back, good credit, twins, Jessup or Champion SW Baytown</t>
  </si>
  <si>
    <t>Josue Velazques</t>
  </si>
  <si>
    <t>changing to land/home, good credit, 8.79% so refi TH land</t>
  </si>
  <si>
    <t>looking for land, sent to Palma, submitted TRU dw at 115k, Triumph</t>
  </si>
  <si>
    <t>Leiga Russell</t>
  </si>
  <si>
    <t>Lease till Sept, maybe to buy jessup Nassau</t>
  </si>
  <si>
    <t>Rosales Antonio</t>
  </si>
  <si>
    <t>written app</t>
  </si>
  <si>
    <t>Son of mirely Jurjo Nueva below</t>
  </si>
  <si>
    <t>jesup SW 102k approval</t>
  </si>
  <si>
    <t>refund check 5/2</t>
  </si>
  <si>
    <t>Jose Cardona Jurjo</t>
  </si>
  <si>
    <t>turned from 8.8% down on 102, 5% down on 81,900 turned to denial</t>
  </si>
  <si>
    <t>Sucel Cepero Trapaga</t>
  </si>
  <si>
    <t>trying to back out, might work, just not now, immigration</t>
  </si>
  <si>
    <t>99k, 10%</t>
  </si>
  <si>
    <t>living in california at the moment, but bank already talked with manager</t>
  </si>
  <si>
    <t>dark</t>
  </si>
  <si>
    <t>Jennyfer Aguilar</t>
  </si>
  <si>
    <t>Thomas said this won't be too much fun…, also has two older expired</t>
  </si>
  <si>
    <t>going to get down from Papa, then come in</t>
  </si>
  <si>
    <t>Gloryvette Sanchez</t>
  </si>
  <si>
    <t>said on 3/4 call, they were holding off</t>
  </si>
  <si>
    <t>Marvel</t>
  </si>
  <si>
    <t>This is the mom with 35k, probably Marvel</t>
  </si>
  <si>
    <t>Doriana Pena Santos</t>
  </si>
  <si>
    <t>At 105k, her Ratio is 39, has to be under 44.9 to be 0 down, so this should work</t>
  </si>
  <si>
    <t>has to stay at 10% on either package, send bible passage every morning</t>
  </si>
  <si>
    <t>Jacquilen Quinteros Roque</t>
  </si>
  <si>
    <t>she was approved at 10.23%, resubmitted at 6.26 and denied</t>
  </si>
  <si>
    <t>Cerrato's wife, spent money, got re-approved but turned into 20% due to bad credit</t>
  </si>
  <si>
    <t>Madeline Baqueadano</t>
  </si>
  <si>
    <t>counteroffer at 10%</t>
  </si>
  <si>
    <t>still trying</t>
  </si>
  <si>
    <t>denial at 20% on Jessup SW</t>
  </si>
  <si>
    <t>Hunter Mckinney</t>
  </si>
  <si>
    <t>Lee/Sergio</t>
  </si>
  <si>
    <t>mother in law sick, but trying to add her?</t>
  </si>
  <si>
    <t>Oak Creek Single, trading RV, looks like they are out</t>
  </si>
  <si>
    <t>Arthur Cunningham</t>
  </si>
  <si>
    <t>blew them out</t>
  </si>
  <si>
    <t>Stephanie Dean</t>
  </si>
  <si>
    <t>20k trade and 5k down, Kevin Goodman, 865-801-9746</t>
  </si>
  <si>
    <t>supposed to come look at used house</t>
  </si>
  <si>
    <t>David Trevino</t>
  </si>
  <si>
    <t>Sergios guy on delight, stock?</t>
  </si>
  <si>
    <t>Edward Torres</t>
  </si>
  <si>
    <t>Kevin Goodman, 865-801-9746, said he is out</t>
  </si>
  <si>
    <t>gave 100 $1 bills</t>
  </si>
  <si>
    <t>Yuieth Cruz Chavez</t>
  </si>
  <si>
    <t>at 25%, 67k loan value</t>
  </si>
  <si>
    <t>drama, missing $</t>
  </si>
  <si>
    <t>wants glory, second closing at TH, wk of 1/13</t>
  </si>
  <si>
    <t>Escarleth Marcano</t>
  </si>
  <si>
    <t>looks like denial at 25%</t>
  </si>
  <si>
    <t>wants marvel, 1,300 personal budget</t>
  </si>
  <si>
    <t>Pablo</t>
  </si>
  <si>
    <t>Section 12</t>
  </si>
  <si>
    <t>maybe…</t>
  </si>
  <si>
    <t>no clue, approved at 119,900, Clayton SS renegade</t>
  </si>
  <si>
    <t>Say Garcia</t>
  </si>
  <si>
    <t>adriana shook her head, came 2 yrs ago, reapproved, now weird, have $2,000</t>
  </si>
  <si>
    <t>no credit, looks like 25% call, they don't have anywhere to put it, need local park</t>
  </si>
  <si>
    <t>Geremia Calero Sanchez</t>
  </si>
  <si>
    <t>Nicaragua, he has to wait for downpayment to do owner/owner</t>
  </si>
  <si>
    <t>20% denial, this is the guy who got in the fight with Ever on the phone, they want in house financing</t>
  </si>
  <si>
    <t>Ashton Tucker</t>
  </si>
  <si>
    <t>did other apps, no property</t>
  </si>
  <si>
    <t>said he got approved in Oct and said he had 620 then, wants small house, has 3k</t>
  </si>
  <si>
    <t>Miguel Rodriguez</t>
  </si>
  <si>
    <t>denial at 20%</t>
  </si>
  <si>
    <t>went to triple c</t>
  </si>
  <si>
    <t>not sure, maybe the preg couple who were approved somewhere else?</t>
  </si>
  <si>
    <t>Edgar Aguilera</t>
  </si>
  <si>
    <t>Marvel DW at 92,900, credit score went down when re-pulled, denial is now 20%</t>
  </si>
  <si>
    <t>Cerrato Urbina</t>
  </si>
  <si>
    <t>tanda guy, but spent it on immigration, courthouse, says he is still in, bringing money 2/10</t>
  </si>
  <si>
    <t>Equifax is locked?  Customer needs to call Equifax and unlock?</t>
  </si>
  <si>
    <t>also first bank</t>
  </si>
  <si>
    <t>Joyce Landry</t>
  </si>
  <si>
    <t>went dark</t>
  </si>
  <si>
    <t>one Ben and Adriana were talking to from Orange Tx on Elm Rd I believe, wants Champion DW</t>
  </si>
  <si>
    <t>Kalyn Bland</t>
  </si>
  <si>
    <t>land/home, Orange, WZ 2 or 3, Non-Q, in budget by 4$</t>
  </si>
  <si>
    <t>1/16 said yes, 1/23 still said yes, but been snowed in</t>
  </si>
  <si>
    <t>wants septic, will put up land in livingston, doesn't seem like deal</t>
  </si>
  <si>
    <t>Muckenfuss Oneal</t>
  </si>
  <si>
    <t>THO</t>
  </si>
  <si>
    <t>fixing property paperwork, will take 4 to 8 wks from 1/8, needs septic help maybe</t>
  </si>
  <si>
    <t>guy whos employer won't do verbal</t>
  </si>
  <si>
    <t>Carlos Arencibia Blanco</t>
  </si>
  <si>
    <t>employer can't do verbal, we have full down</t>
  </si>
  <si>
    <t>said personal reasons, living in rv, backed out</t>
  </si>
  <si>
    <t>Maikel Lopez Espinoza</t>
  </si>
  <si>
    <t>BPO Sandcastle ordered 1/29, we have full down, need 2,800 deposit slip by 3/11</t>
  </si>
  <si>
    <t>think he is out</t>
  </si>
  <si>
    <t>this was the one on the pride, maybe moved carlos into it????</t>
  </si>
  <si>
    <t>Leonardo Cano</t>
  </si>
  <si>
    <t>tanda on 12/20, might be 5k or so short on 10,600 down, we might have 2 or 3k</t>
  </si>
  <si>
    <t>prob out</t>
  </si>
  <si>
    <t>old guy with daughter doing truck payments, etc</t>
  </si>
  <si>
    <t>Joe Carrizales</t>
  </si>
  <si>
    <t>or WAP, got property, but going to wait</t>
  </si>
  <si>
    <t>counteroffer at 10%, had vand. Approval for pride at 140k with 28 improvements</t>
  </si>
  <si>
    <t>Josue Rodas Lopez</t>
  </si>
  <si>
    <t>he called in and declined counteroffer</t>
  </si>
  <si>
    <t>one of Lee's apps, went to Oak Creek as land in lu at 219k</t>
  </si>
  <si>
    <t>Lorena Del Toro</t>
  </si>
  <si>
    <t>I have the wrong file number on this one</t>
  </si>
  <si>
    <t>pride, wife problem, etc, etc, etc</t>
  </si>
  <si>
    <t>Jorge Alberto Cano</t>
  </si>
  <si>
    <t>tanda 1/28, 800 dollar land payment?  550 on app, 800 is about max</t>
  </si>
  <si>
    <t>this goes with ruiz below</t>
  </si>
  <si>
    <t>Lucia Sambrano</t>
  </si>
  <si>
    <t>see above</t>
  </si>
  <si>
    <t>Adrian Sierra Ruiz</t>
  </si>
  <si>
    <t>Denial at 20% on 132,000</t>
  </si>
  <si>
    <t>girl came and did app with husband, sent taxes then went dark</t>
  </si>
  <si>
    <t>Victorino Gonzales</t>
  </si>
  <si>
    <t>Maria</t>
  </si>
  <si>
    <t>waiting on VOE, wants rosewood maybe, taxes cleared, rental income adjusted</t>
  </si>
  <si>
    <t>Barbara Martin</t>
  </si>
  <si>
    <t>Land/Home with Marvel we think, once income is cleared, we need payoff from landowner, his regular is short, 29 wks, not 36</t>
  </si>
  <si>
    <t>Jose Gonzales</t>
  </si>
  <si>
    <t>will have trade-in DW shed once this is closed…</t>
  </si>
  <si>
    <t>denial on 65,000, looks like 20%</t>
  </si>
  <si>
    <t>Arnaldo Gonzalez</t>
  </si>
  <si>
    <t>Donovan Calvin</t>
  </si>
  <si>
    <t>lee</t>
  </si>
  <si>
    <t>so excited, but then….  Has to sell house, Ben said she wasn’t very realistic</t>
  </si>
  <si>
    <t>Theresa Lynn Moore</t>
  </si>
  <si>
    <t>Ben spoke to her, maybe it was the sell the house juggle</t>
  </si>
  <si>
    <t>Friday customer already approved somewhere else</t>
  </si>
  <si>
    <t>Hilario Zurita</t>
  </si>
  <si>
    <t>some random referral with no land</t>
  </si>
  <si>
    <t>Carlos Torres</t>
  </si>
  <si>
    <t>Denial, he screwed up this app.  Adr try to fix</t>
  </si>
  <si>
    <t>Jose Hernandez</t>
  </si>
  <si>
    <t>Terry Lafond</t>
  </si>
  <si>
    <t>want smart glory</t>
  </si>
  <si>
    <t>Chong Pacheco</t>
  </si>
  <si>
    <t>Offline 6/24, ship Tu 6/25, still counter, nothing cleared, waiting on imigration paperwork, changing addr, might move off</t>
  </si>
  <si>
    <t>Lizbet Rivas</t>
  </si>
  <si>
    <t>slow person, waiting on Tanda</t>
  </si>
  <si>
    <t>Melvin Dees</t>
  </si>
  <si>
    <t>looking for property, celeste's friend real estate</t>
  </si>
  <si>
    <t>going to honduras to sell property, all SSI</t>
  </si>
  <si>
    <t>Perdomo</t>
  </si>
  <si>
    <t>weird, confused and no downpayment, counter at 20%</t>
  </si>
  <si>
    <t>keeps not being ready till 8</t>
  </si>
  <si>
    <t>Rosa Morales</t>
  </si>
  <si>
    <t>denied</t>
  </si>
  <si>
    <t>new husband is in control, but not on loan, tanda stuff…</t>
  </si>
  <si>
    <t>having problems coming in, he only has 5,000</t>
  </si>
  <si>
    <t>Tyler Papugua</t>
  </si>
  <si>
    <t>good at 9,650 down</t>
  </si>
  <si>
    <t>think this is pt78/crazy 8 customer</t>
  </si>
  <si>
    <t>Jimenez Gesy</t>
  </si>
  <si>
    <t>denied at 20%, saving money for down</t>
  </si>
  <si>
    <t>no clue</t>
  </si>
  <si>
    <t>Luis Hugo Pena</t>
  </si>
  <si>
    <t>counteroffer</t>
  </si>
  <si>
    <t>has to sell some truck or something, promise to buy with us, PT78</t>
  </si>
  <si>
    <t>Milagros</t>
  </si>
  <si>
    <t>was on satisfaction, but moved Adisney to this one</t>
  </si>
  <si>
    <t>Torres Cruz</t>
  </si>
  <si>
    <t>weird checkstubs, w2, change companies, etc</t>
  </si>
  <si>
    <t>waiting on tax money, want satisfaction</t>
  </si>
  <si>
    <t>Jasmine Mendez</t>
  </si>
  <si>
    <t>kind of disappeared</t>
  </si>
  <si>
    <t>Denied, good at 8,800 down</t>
  </si>
  <si>
    <t>Victorina Diaz Morales</t>
  </si>
  <si>
    <t>come march 29 with money, bring 2 or 3k, for glory</t>
  </si>
  <si>
    <t>either big anatolio or something cheaper</t>
  </si>
  <si>
    <t>Ullysses Fuentes</t>
  </si>
  <si>
    <t>change to 125k, cant figure out if she got divorced or not</t>
  </si>
  <si>
    <t>windzone II elation</t>
  </si>
  <si>
    <t>Rosa Margarita Mtz</t>
  </si>
  <si>
    <t>supposedly can't get downpayment, the 7 or 8 kid lady</t>
  </si>
  <si>
    <t>he is not in a hurry</t>
  </si>
  <si>
    <t>Jose Escobedo</t>
  </si>
  <si>
    <t>approved at 93,900, 9,500 down, land payment is in there</t>
  </si>
  <si>
    <t>he's out</t>
  </si>
  <si>
    <t>was Triumph at 116,000, trying to get Verbal done on VOE, no luck</t>
  </si>
  <si>
    <t>Flores Portillo, Herbert</t>
  </si>
  <si>
    <t>brother help to build house</t>
  </si>
  <si>
    <t>bought at David's place</t>
  </si>
  <si>
    <t>want jessup sw for montgomery county or liberty county, could be TH, have property payment problem</t>
  </si>
  <si>
    <t>Adela Nunez</t>
  </si>
  <si>
    <t>Must have good credit, no down and int at 9.11</t>
  </si>
  <si>
    <t>dad died, too much stuff on postage stamp property</t>
  </si>
  <si>
    <t>Maria Guzman</t>
  </si>
  <si>
    <t>no money, only had 1664 of income, cant afford anything</t>
  </si>
  <si>
    <t>Michaelangelo Vega</t>
  </si>
  <si>
    <t>Adriana said this is not a real deal, with somebody else</t>
  </si>
  <si>
    <t>Yenisleidy Arrojo Torres</t>
  </si>
  <si>
    <t>Marlon Salazar</t>
  </si>
  <si>
    <t>works at 2 restaraunts.  Not real, just looking, she didn't like our houses.  Husband said ok.</t>
  </si>
  <si>
    <t>Lesvia Rodriguez</t>
  </si>
  <si>
    <t>counteroffer with 8,800 down</t>
  </si>
  <si>
    <t>Yeral Pino Castellanos</t>
  </si>
  <si>
    <t>Jacq referral, ITN no credit</t>
  </si>
  <si>
    <t>Crystal Coello</t>
  </si>
  <si>
    <t>counteroffer at 10%, somebody went to Miami with wrong lady</t>
  </si>
  <si>
    <t>was Delight, Adr thinks this is out.</t>
  </si>
  <si>
    <t>Glendi Leon</t>
  </si>
  <si>
    <t>Trying to buy satisfaction</t>
  </si>
  <si>
    <t>Norman Reed</t>
  </si>
  <si>
    <t>answering, can't seem to make it in with $$$</t>
  </si>
  <si>
    <t>Wants Smart Satisfaction</t>
  </si>
  <si>
    <t>Liyenis Perez</t>
  </si>
  <si>
    <t>19,300 down, 1,000 down, maybe waiting on 401k, can't seem to make it</t>
  </si>
  <si>
    <t>Denial, 30k max to finance</t>
  </si>
  <si>
    <t>Amauris Rodriguez</t>
  </si>
  <si>
    <t>Looking at pt78, needs in 30 day</t>
  </si>
  <si>
    <t>Cindy</t>
  </si>
  <si>
    <t>Cash</t>
  </si>
  <si>
    <t>both bad</t>
  </si>
  <si>
    <t>wants crazy 8 for satisfaction money, not until they bring money do they get their name on one</t>
  </si>
  <si>
    <t>Gipsy Tellez Perdomo</t>
  </si>
  <si>
    <t>helping palmas son sell land at TH, they then went to Tejas and did app</t>
  </si>
  <si>
    <t>Looking for property to find new place</t>
  </si>
  <si>
    <t>Riordan/Ward</t>
  </si>
  <si>
    <t>looking at other properties</t>
  </si>
  <si>
    <t>trying to find a park not in WZ2 county</t>
  </si>
  <si>
    <t>Zenayda Sarmiento</t>
  </si>
  <si>
    <t>German Lopez</t>
  </si>
  <si>
    <t>denial, hard 20</t>
  </si>
  <si>
    <t>Juan Rodriguez</t>
  </si>
  <si>
    <t>he's out apparently, something with mexico or something</t>
  </si>
  <si>
    <t>five kids, plum grove rd</t>
  </si>
  <si>
    <t>Ronald Oncale</t>
  </si>
  <si>
    <t>Marco Jimenez Sauchedo</t>
  </si>
  <si>
    <t>1099/VOE problem, Jessica Duncan 865-801-9763</t>
  </si>
  <si>
    <t>flood problem</t>
  </si>
  <si>
    <t>Martina Solis</t>
  </si>
  <si>
    <t>WAP</t>
  </si>
  <si>
    <t>was buying elation</t>
  </si>
  <si>
    <t>Casteneda</t>
  </si>
  <si>
    <t>trying to back out, TH landed flooded, she's out, he's in</t>
  </si>
  <si>
    <t>reopened from maybe 2 yrs ago</t>
  </si>
  <si>
    <t>Aldo Rodriguez Suarez</t>
  </si>
  <si>
    <t>denied 15% mtf 98,000</t>
  </si>
  <si>
    <t>trying to back out, adr trying to keep them on</t>
  </si>
  <si>
    <t>Infante Carralero</t>
  </si>
  <si>
    <t>update ins as per Tommy quote I think, went down $177, want to cancel because of flood</t>
  </si>
  <si>
    <t>Maria's Brother in law says he wants SW and put 100k</t>
  </si>
  <si>
    <t>Manuel Duarte</t>
  </si>
  <si>
    <t>this is Dog…., not Chad, Hayley Wood xt 1106</t>
  </si>
  <si>
    <t>Adding somebody to another app?</t>
  </si>
  <si>
    <t>Cristal Garcia</t>
  </si>
  <si>
    <t>These are combined, Cristal Garcia and Adam Gomez</t>
  </si>
  <si>
    <t>wants 4br nv</t>
  </si>
  <si>
    <t>Adam Gomez</t>
  </si>
  <si>
    <t>old customer with 50k single, now counteroffer with 2,000 payment</t>
  </si>
  <si>
    <t>adr adding somebody on this</t>
  </si>
  <si>
    <t>trying for Marvel</t>
  </si>
  <si>
    <t>Ryan Burnham</t>
  </si>
  <si>
    <t>this is the son working in the plant, no way he has that downpayment…. 635 credit score</t>
  </si>
  <si>
    <t>went quiet, see if they went to los pinos</t>
  </si>
  <si>
    <t>Jenny and bunch of other names</t>
  </si>
  <si>
    <t>keeps hanging up, doesn't look like they did app anywhere else</t>
  </si>
  <si>
    <t>Adriana added husband to somebody app</t>
  </si>
  <si>
    <t>Hector Molina Escamilla</t>
  </si>
  <si>
    <t>trying to sell anatolia special order, payment with land too much, they are just going to buy a Real Home….</t>
  </si>
  <si>
    <t>these are combined</t>
  </si>
  <si>
    <t>Benavides De Coreas</t>
  </si>
  <si>
    <t>currently denial, 20% at 125k</t>
  </si>
  <si>
    <t>crying lady with medicine</t>
  </si>
  <si>
    <t>Zumma Crespo</t>
  </si>
  <si>
    <t>denied, hard 20 I believe</t>
  </si>
  <si>
    <t>lady with good/bad news</t>
  </si>
  <si>
    <t>Jaime Robles</t>
  </si>
  <si>
    <t>needs money for immigration</t>
  </si>
  <si>
    <t>Changed jobs, might re-open once he has some more checks</t>
  </si>
  <si>
    <t>Magana</t>
  </si>
  <si>
    <t>now ghosting, waiting on Trump</t>
  </si>
  <si>
    <t>Perez Morales</t>
  </si>
  <si>
    <t>old Legacy customer, Adr offering in house financing, bad credit</t>
  </si>
  <si>
    <t>Balderas</t>
  </si>
  <si>
    <t>currently denial</t>
  </si>
  <si>
    <t>401k, 20% down, has 75k debt that needs to be pd off</t>
  </si>
  <si>
    <t>Eliduvina Romero</t>
  </si>
  <si>
    <t>order renegade</t>
  </si>
  <si>
    <t>coming on Saturday!!!!</t>
  </si>
  <si>
    <t>Irma Lara</t>
  </si>
  <si>
    <t>ghosting, something about Los Pinos payments</t>
  </si>
  <si>
    <t>Morales/Mtz</t>
  </si>
  <si>
    <t>She is realistic, he isn't, she says he is the problem.  They just want a home</t>
  </si>
  <si>
    <t>Christian Vargas</t>
  </si>
  <si>
    <t>something not good</t>
  </si>
  <si>
    <t>Perez Bustamante</t>
  </si>
  <si>
    <t>Lease till August</t>
  </si>
  <si>
    <t>currently denial, trying to move to Marvel, won't get any better than 20, even with removing Caleb</t>
  </si>
  <si>
    <t>Joel Mares</t>
  </si>
  <si>
    <t>they have 5,000</t>
  </si>
  <si>
    <t>might just do her with 21st on Frenchman with 15+, just her, not Roberto Lara</t>
  </si>
  <si>
    <t>Cassandra mtz, Roberto Lara</t>
  </si>
  <si>
    <t>maybe 14,300 down with 79,000 to finance</t>
  </si>
  <si>
    <t>might have income problem and do in-house, not answering, their dad answered, now they are ghosting</t>
  </si>
  <si>
    <t>Julian Reyes</t>
  </si>
  <si>
    <t>would have to be THO deal</t>
  </si>
  <si>
    <t>new job</t>
  </si>
  <si>
    <t>Lugo</t>
  </si>
  <si>
    <t>Good approval with Home Funding, on December Glory, wants to wait till next yr and do cash</t>
  </si>
  <si>
    <t>Nelcy Perez</t>
  </si>
  <si>
    <t>Indian shores, got cheaper house somewhere else</t>
  </si>
  <si>
    <t>Figueroa</t>
  </si>
  <si>
    <t>was the satisfaction customer</t>
  </si>
  <si>
    <t>she is approved at 105k, waiting to see Cavco small DW, not answering phone</t>
  </si>
  <si>
    <t>Mendoza Castellar</t>
  </si>
  <si>
    <t>won't exactly come in</t>
  </si>
  <si>
    <t>Thinking about a Glory for Brazoria county, maybe Hutto, but int too high, they want to wait till may for DW</t>
  </si>
  <si>
    <t>Martinez</t>
  </si>
  <si>
    <t>Was 21st at high int, doing through THO</t>
  </si>
  <si>
    <t>400 credit score, wants dw owner finance with 5,000</t>
  </si>
  <si>
    <t>Juan Davila Mendieta</t>
  </si>
  <si>
    <t>mother getting divorced and wants house for her and kids, selling current house, close 12/4, they have 25k down</t>
  </si>
  <si>
    <t>Alina Rendon</t>
  </si>
  <si>
    <t>just signed 1 yr lease, now has flat tire</t>
  </si>
  <si>
    <t>bailing out, thinks he couldn't get permit, signed new apt lease</t>
  </si>
  <si>
    <t>Daniel Loera</t>
  </si>
  <si>
    <t>probably quitting, we have 2,500, employer won't do VOE</t>
  </si>
  <si>
    <t>Mendoza Crispin Cruz</t>
  </si>
  <si>
    <t>Santos Escobar</t>
  </si>
  <si>
    <t>denial at 20%, Adriana says probably not</t>
  </si>
  <si>
    <t>Andres Carmona</t>
  </si>
  <si>
    <t>now getting divorced, might bail out.  approval with mom for 145k at 5% down, payments are 2,000!</t>
  </si>
  <si>
    <t>Trust fund lady, advisors told her to wait, supposedly will be back.</t>
  </si>
  <si>
    <t>Christy Gibben</t>
  </si>
  <si>
    <t>gave her money back</t>
  </si>
  <si>
    <t>This lady was approved, expired, no conditions, was on glory, all SS income</t>
  </si>
  <si>
    <t>Daisy Castro</t>
  </si>
  <si>
    <t>Anatolia XL 28x68</t>
  </si>
  <si>
    <t>Yadira Carcamo Burgos</t>
  </si>
  <si>
    <t>now approved, she closed TH under her name</t>
  </si>
  <si>
    <t>Renegade</t>
  </si>
  <si>
    <t>28x48</t>
  </si>
  <si>
    <t>Josselyn Borjas</t>
  </si>
  <si>
    <t>wanting bigger house? Likes 118,000 deal renegade, trying to find property</t>
  </si>
  <si>
    <t>Say Garcia 3031202</t>
  </si>
  <si>
    <t>Drunk accident brother…. We have 1,000</t>
  </si>
  <si>
    <t>Below this line are the Houses on order</t>
  </si>
  <si>
    <t>Jessup (VEP 0 - Houses advance at 150%)</t>
  </si>
  <si>
    <t>Size</t>
  </si>
  <si>
    <t>Offline</t>
  </si>
  <si>
    <t>Clayton Epic (VEP 1 - Houses advance at 145%)</t>
  </si>
  <si>
    <t>TRU (VEP 0 - Houses advance at 145%)</t>
  </si>
  <si>
    <t>Clayton Sulphur Springs (VEP 1 - Houses advance at 145%)</t>
  </si>
  <si>
    <t>Champion/Skyline (VEP 0 - Houses advance at 150%)</t>
  </si>
  <si>
    <t>Cavco Seguin (VEP 0 - Houses advance at 150%)</t>
  </si>
  <si>
    <t>Skyline out of Kansas (VEP 1 - Houses advance at 145%)</t>
  </si>
  <si>
    <t>Oak Creek (VEP 0 - Houses advance at 150%)</t>
  </si>
  <si>
    <t>New Vision (VEP 1 - Houses advance at 145%)</t>
  </si>
  <si>
    <t>Legacy (C and H are VEP 1, S is VEP 0)</t>
  </si>
  <si>
    <t>Panama 28x56 4/2</t>
  </si>
  <si>
    <t>Isidro Suarez Rmz</t>
  </si>
  <si>
    <t>was Polanco 3460795</t>
  </si>
  <si>
    <t>Danay Palomino Guerra</t>
  </si>
  <si>
    <t>Jessup</t>
  </si>
  <si>
    <t>Madison 32x64 4/2</t>
  </si>
  <si>
    <t>Ceja, Augustin Loza</t>
  </si>
  <si>
    <t>set, trimout Tu or We 9th 10th</t>
  </si>
  <si>
    <t>freight 3200.00</t>
  </si>
  <si>
    <t>Thrill 28x56</t>
  </si>
  <si>
    <t>Bruce Edward Rossitto</t>
  </si>
  <si>
    <t>cash</t>
  </si>
  <si>
    <t>pd.</t>
  </si>
  <si>
    <t>pd off Mo 8/25, trimout 9/8</t>
  </si>
  <si>
    <t>Saturnino Badillo Mendez</t>
  </si>
  <si>
    <t>Th working on trimout, fr with saenz, sat finish badillo</t>
  </si>
  <si>
    <t>Cavco</t>
  </si>
  <si>
    <t>Valumax 28x48</t>
  </si>
  <si>
    <t>Helder Sosa De Jesus</t>
  </si>
  <si>
    <t>finished trimout, trim color problem</t>
  </si>
  <si>
    <t>freight 2950</t>
  </si>
  <si>
    <t>Jackson</t>
  </si>
  <si>
    <t>Leyland C Goodrum</t>
  </si>
  <si>
    <t>freight 1816.50</t>
  </si>
  <si>
    <t>Pontchatrain 32x64</t>
  </si>
  <si>
    <t>Brooklin Treiber</t>
  </si>
  <si>
    <t>Alfredo Rios</t>
  </si>
  <si>
    <t>closing</t>
  </si>
  <si>
    <t>pd off 8/14</t>
  </si>
  <si>
    <t>Cook 28x52 3/2 end entry</t>
  </si>
  <si>
    <t>Genry Lopez</t>
  </si>
  <si>
    <t>we put this on July monthly report</t>
  </si>
  <si>
    <t>freight 4253</t>
  </si>
  <si>
    <t>was 71309</t>
  </si>
  <si>
    <t>Martin Islas Valdes</t>
  </si>
  <si>
    <t>Drindis Campos</t>
  </si>
  <si>
    <t>Pelican 28x56 Box</t>
  </si>
  <si>
    <t>Luivis Martinez Rodriguez</t>
  </si>
  <si>
    <t>7/2, 7/3</t>
  </si>
  <si>
    <t>William Riley</t>
  </si>
  <si>
    <t>Sergio/Lee</t>
  </si>
  <si>
    <t>used DW 10k now in THO name</t>
  </si>
  <si>
    <t>Thrill Smartpanel 28x56</t>
  </si>
  <si>
    <t>Sierra Paulhill</t>
  </si>
  <si>
    <t>close 7/2</t>
  </si>
  <si>
    <t>Aunt (yvonne/Rene) won't sign anything, has 5,000 was 3412804</t>
  </si>
  <si>
    <t>Ralph Villyard</t>
  </si>
  <si>
    <t>freight 2145.80</t>
  </si>
  <si>
    <t>Carlos Augusto Quijano lopez</t>
  </si>
  <si>
    <t>Anatolia XL 4BR</t>
  </si>
  <si>
    <t>Bermeo Mora</t>
  </si>
  <si>
    <t>we pd INS I believe, missing ceiling marriage line trim because we have been stealing for other houses</t>
  </si>
  <si>
    <t>Lotset Here 6/10</t>
  </si>
  <si>
    <t>Irene Silvestre</t>
  </si>
  <si>
    <t>Adilene</t>
  </si>
  <si>
    <t>9.9, 10 yrs, 21,000, no escrow</t>
  </si>
  <si>
    <t>pd off 6/3, Closed, House burned down, 63k down, 21k to finance, no escrow, round numbers</t>
  </si>
  <si>
    <t>64k, 11.9, 15yrs</t>
  </si>
  <si>
    <t>pd off 6/10, Closed Tu, Alina THO 5k down, 69k, she will pay ins, check with park</t>
  </si>
  <si>
    <t>Julian Gonzalez</t>
  </si>
  <si>
    <t>freight 2200</t>
  </si>
  <si>
    <t>6/5 del, 6/6 set</t>
  </si>
  <si>
    <t>flipped 16x76 Cypress</t>
  </si>
  <si>
    <t>Oscar Polanco</t>
  </si>
  <si>
    <t>6/6 del, 6/9 set</t>
  </si>
  <si>
    <t>Victor Noguera Anez</t>
  </si>
  <si>
    <t>us to pay the 2,583, then he will send binder</t>
  </si>
  <si>
    <t>We deliver TH set</t>
  </si>
  <si>
    <t>125 Skyline Homes</t>
  </si>
  <si>
    <t>Galaxy N9 2302 28x56</t>
  </si>
  <si>
    <t>Fransisco Saenz</t>
  </si>
  <si>
    <t>cash 120k</t>
  </si>
  <si>
    <t>closed 4/19</t>
  </si>
  <si>
    <t>pd off 5/12, moving for Alex, Adr pd already, Taking used real property DW, do inspection after Alex fixes</t>
  </si>
  <si>
    <t>David Villatoro</t>
  </si>
  <si>
    <t>brought check</t>
  </si>
  <si>
    <t>pd off 6/3, 72k cash</t>
  </si>
  <si>
    <t>Estefani Mejias</t>
  </si>
  <si>
    <t>believe this is cruz cruz brother, taking used SW at 39,900</t>
  </si>
  <si>
    <t>Gerardo Medina Romero</t>
  </si>
  <si>
    <t>Was Eliud Ramos house with Kyle</t>
  </si>
  <si>
    <t>Virginia Martinez</t>
  </si>
  <si>
    <t>pd off 5/28</t>
  </si>
  <si>
    <t>Mirian Maldonado</t>
  </si>
  <si>
    <t>Elation Smart</t>
  </si>
  <si>
    <t>Uver Matos Diaz</t>
  </si>
  <si>
    <t>pd off 5/16, was 3393846, was Kadima, had Bluewater pools 1099/W2 issue</t>
  </si>
  <si>
    <t>Expedition 28x60 4/2</t>
  </si>
  <si>
    <t>Gonzalo Nava Fraide</t>
  </si>
  <si>
    <t>freight 4135.2</t>
  </si>
  <si>
    <t>PH0523151</t>
  </si>
  <si>
    <t>Palm Harbor</t>
  </si>
  <si>
    <t>16x76 Miles Tradein</t>
  </si>
  <si>
    <t>PF 2</t>
  </si>
  <si>
    <t>Carmen Duran</t>
  </si>
  <si>
    <t>closed</t>
  </si>
  <si>
    <t>tho repo, was miles trade</t>
  </si>
  <si>
    <t>PT 78 28x56</t>
  </si>
  <si>
    <t>Jose Pineda Aguirre</t>
  </si>
  <si>
    <t>Douglas Morales Solis</t>
  </si>
  <si>
    <t>Kadmina Repo</t>
  </si>
  <si>
    <t>Kadima Legacy Repo at 39,000, 2k down, moving back to Kadima</t>
  </si>
  <si>
    <t>Albizy De Pablos</t>
  </si>
  <si>
    <t>Kadima</t>
  </si>
  <si>
    <t>was 3386821 with 21st, non q</t>
  </si>
  <si>
    <t>Glory Vinyl</t>
  </si>
  <si>
    <t>Ortega Lambertinez Yarlis Ortega</t>
  </si>
  <si>
    <t>Elation Smart wz 2 14x66</t>
  </si>
  <si>
    <t>Robertina Beltrain</t>
  </si>
  <si>
    <t>pd off 4/10, factory came to change water heater</t>
  </si>
  <si>
    <t>Luis Cruz Cruz</t>
  </si>
  <si>
    <t>Carranza</t>
  </si>
  <si>
    <t>20k down,need to setup CN,  first payment 4/15, pd off 3/5</t>
  </si>
  <si>
    <t>Marvelous 3</t>
  </si>
  <si>
    <t>Andanyli Lambert Reyes</t>
  </si>
  <si>
    <t>Beatrice Casanova</t>
  </si>
  <si>
    <t>08738</t>
  </si>
  <si>
    <t>Jackson 16x80 3/2</t>
  </si>
  <si>
    <t>Ronald R Jindra</t>
  </si>
  <si>
    <t>freight 1861.5</t>
  </si>
  <si>
    <t>Berenice Guerrero Caballero</t>
  </si>
  <si>
    <t>baytown survey/permit lady</t>
  </si>
  <si>
    <t>Kenia Izaguirre</t>
  </si>
  <si>
    <t>Grand Smartpanel</t>
  </si>
  <si>
    <t>Erika Nicot Tamayo</t>
  </si>
  <si>
    <t>Eduardo Solorio Roman</t>
  </si>
  <si>
    <t>old legacy customer</t>
  </si>
  <si>
    <t>he pd ins 3/24, CN after that, pd off 3/26</t>
  </si>
  <si>
    <t>New Vision</t>
  </si>
  <si>
    <t>Whitehaven 28x56 3BR</t>
  </si>
  <si>
    <t>Olascoaga Vences</t>
  </si>
  <si>
    <t>we give them 2k pad and crystal water???</t>
  </si>
  <si>
    <t>Pride Smartpanel 28x68</t>
  </si>
  <si>
    <t>Cheily Dubon Reyes</t>
  </si>
  <si>
    <t>Jesus Hernandez</t>
  </si>
  <si>
    <t>we pay Ins $1,578.00</t>
  </si>
  <si>
    <t>Delight Vinyl</t>
  </si>
  <si>
    <t>Martinez Evelyn</t>
  </si>
  <si>
    <t>8,100 in improvements</t>
  </si>
  <si>
    <t>Luis Guzman Rivillas</t>
  </si>
  <si>
    <t>3k imp and we pay ins</t>
  </si>
  <si>
    <t>Pedro Hernandez</t>
  </si>
  <si>
    <t>Sergio/Adriana</t>
  </si>
  <si>
    <t>Galaxy N9 801 16x80</t>
  </si>
  <si>
    <t>Perla Grimaldo</t>
  </si>
  <si>
    <t>turn in cn for 25th of march</t>
  </si>
  <si>
    <t>Crazy 8, 28x56 4/2</t>
  </si>
  <si>
    <t>Jesse Silva</t>
  </si>
  <si>
    <t>have to build a wall/room/closet?</t>
  </si>
  <si>
    <t>Anatolia XL</t>
  </si>
  <si>
    <t>Martinez Reyes</t>
  </si>
  <si>
    <t xml:space="preserve">Israel Rosales </t>
  </si>
  <si>
    <t>Anatolia</t>
  </si>
  <si>
    <t>Ivan Enamorado</t>
  </si>
  <si>
    <t>Valumaxx 28483M</t>
  </si>
  <si>
    <t>Moreno Medina</t>
  </si>
  <si>
    <t>freight 3100</t>
  </si>
  <si>
    <t>PT78 28x56 3/2</t>
  </si>
  <si>
    <t>Kelly Felix Ortiz</t>
  </si>
  <si>
    <t>Beatriz Hernandez</t>
  </si>
  <si>
    <t>she will pay us back ins 2,540, pd 1,540, 1000 in skirting won't give her</t>
  </si>
  <si>
    <t>Paramo</t>
  </si>
  <si>
    <t>Erick Samuel Hdz</t>
  </si>
  <si>
    <t>jan form t</t>
  </si>
  <si>
    <t xml:space="preserve"> </t>
  </si>
  <si>
    <t>Satisfaction Vinyl</t>
  </si>
  <si>
    <t>Johnson</t>
  </si>
  <si>
    <t>pd off 12/19, going to Mountain Home</t>
  </si>
  <si>
    <t>Rosewood 28x64 5/2 like 1574, but dark backsplash</t>
  </si>
  <si>
    <t>Valenzuela Solares</t>
  </si>
  <si>
    <t>dec form t</t>
  </si>
  <si>
    <t>going to 140k, she gave 5k, will give 2k more, other 5 improvements, we pay ins, 14k deposit slip</t>
  </si>
  <si>
    <t>James Smith</t>
  </si>
  <si>
    <t>pd off 12/19, sell at 87,000 with Skirting, setting 1/6</t>
  </si>
  <si>
    <t>Paredes</t>
  </si>
  <si>
    <t>Garcia Rdz</t>
  </si>
  <si>
    <t>we pay Ins</t>
  </si>
  <si>
    <t>Morrell Alonso</t>
  </si>
  <si>
    <t>we pay for pad</t>
  </si>
  <si>
    <t xml:space="preserve">Beatriz Alvarado </t>
  </si>
  <si>
    <t>Elmer Izquierdo</t>
  </si>
  <si>
    <t>Claudia Lopez Segura</t>
  </si>
  <si>
    <t>Banuelos Ramirez Guzman</t>
  </si>
  <si>
    <t>Reynaldo De La Rosa Luna</t>
  </si>
  <si>
    <t>this is where the panels don’t meet right on the end</t>
  </si>
  <si>
    <t>Jackson 16x80 3/3</t>
  </si>
  <si>
    <t>Sias, Pablo Valenzuela</t>
  </si>
  <si>
    <t>we build pad, 2,200 pad, sold at 89,900</t>
  </si>
  <si>
    <t>Maria &amp; Sergio Montelongo</t>
  </si>
  <si>
    <t xml:space="preserve">Conway </t>
  </si>
  <si>
    <t>in final</t>
  </si>
  <si>
    <t>6k improvements, we pay pad, she gets rest? electrical, plumbing, etc</t>
  </si>
  <si>
    <t>2checks, pad and other</t>
  </si>
  <si>
    <t>Abel Paz Cantu</t>
  </si>
  <si>
    <t>Torres, Hector Luna</t>
  </si>
  <si>
    <t>extra block high, alex has 500 from customer</t>
  </si>
  <si>
    <t>Anatolia 28x56</t>
  </si>
  <si>
    <t>Jonathan Garcia</t>
  </si>
  <si>
    <t>midget, at 127k with pad, in crosby, 6,700 downpayment left</t>
  </si>
  <si>
    <t>Valumax 28x48 3/2</t>
  </si>
  <si>
    <t>Robert &amp; Linda Foreman</t>
  </si>
  <si>
    <t>CASH</t>
  </si>
  <si>
    <t>$100,000.00 cash, pd off 10/8/24</t>
  </si>
  <si>
    <t>DELIVERED</t>
  </si>
  <si>
    <t>Molina Juan Carlos</t>
  </si>
  <si>
    <t>broken back door glass</t>
  </si>
  <si>
    <t>Mr. Ramirez</t>
  </si>
  <si>
    <t>Nancy Aguilera</t>
  </si>
  <si>
    <t>This one got deleted I guess, don't know if Oct or Nov</t>
  </si>
  <si>
    <t>Selensky</t>
  </si>
  <si>
    <t xml:space="preserve">OAK CREEK </t>
  </si>
  <si>
    <t>NXD-9356-32-P6</t>
  </si>
  <si>
    <t xml:space="preserve">Mr. Puac </t>
  </si>
  <si>
    <t>Elation Vinyl</t>
  </si>
  <si>
    <t xml:space="preserve">Maria Merlan </t>
  </si>
  <si>
    <t>pd off 10/23</t>
  </si>
  <si>
    <t>Crazy 8 28x56 4br</t>
  </si>
  <si>
    <t>Scott Tatom</t>
  </si>
  <si>
    <t>Bessy Torres</t>
  </si>
  <si>
    <t>Jackson 16x76 3/2</t>
  </si>
  <si>
    <t>Garay Mendez</t>
  </si>
  <si>
    <t>500 to adi from our side</t>
  </si>
  <si>
    <t>Serrato Maldonado</t>
  </si>
  <si>
    <t>we pay ins</t>
  </si>
  <si>
    <t>pd off 9/13/24, CN done, starting 10/25</t>
  </si>
  <si>
    <t>Freight 2,950</t>
  </si>
  <si>
    <t>Glenda Guardado</t>
  </si>
  <si>
    <t>Marvelous 3 Vinyl</t>
  </si>
  <si>
    <t>Sonia Juan Nunez</t>
  </si>
  <si>
    <t>Norma Huerta</t>
  </si>
  <si>
    <t>Etta Robbins</t>
  </si>
  <si>
    <t>sw</t>
  </si>
  <si>
    <t>Marvelous 3 Smart/dw/dormer</t>
  </si>
  <si>
    <t>Trujillo</t>
  </si>
  <si>
    <t>pd off 9/9</t>
  </si>
  <si>
    <t>Pontchatrain</t>
  </si>
  <si>
    <t>Ramiro Ortiz/Tania</t>
  </si>
  <si>
    <t>Satisfaction Vinyl 28x56</t>
  </si>
  <si>
    <t>Ramiro Pacheco</t>
  </si>
  <si>
    <t>Candelaria Guiterrez Ruiz</t>
  </si>
  <si>
    <t>Kenia Berlios Zavala</t>
  </si>
  <si>
    <t>Dania Vargas</t>
  </si>
  <si>
    <t>Jorge Reyes Mtz, Delmy</t>
  </si>
  <si>
    <t>Crazy 8</t>
  </si>
  <si>
    <t>Usandro Onofre</t>
  </si>
  <si>
    <t>Galaxy N9 803 16x80</t>
  </si>
  <si>
    <t>Cuevas Romero</t>
  </si>
  <si>
    <t>at $85,555, pd off 8/19, Cuevas was 21st, thanks Miguel</t>
  </si>
  <si>
    <t>Delight 14x60 Vinyl</t>
  </si>
  <si>
    <t>Judkins</t>
  </si>
  <si>
    <t>Cash/THO</t>
  </si>
  <si>
    <t>pd off 7/22</t>
  </si>
  <si>
    <t>Davis/Elijah Leeah</t>
  </si>
  <si>
    <t>6,500 for septic.</t>
  </si>
  <si>
    <t>Doris Marte/Pina</t>
  </si>
  <si>
    <t>Triumph Smartpanel</t>
  </si>
  <si>
    <t>Nicolas Torres Gonzalez</t>
  </si>
  <si>
    <t>Esmerelda Galvan-Diaz</t>
  </si>
  <si>
    <t>Marvel 4 Vinyl 28x56</t>
  </si>
  <si>
    <t>Alfredo Reyes Lopez</t>
  </si>
  <si>
    <t>Celeste Sanchez</t>
  </si>
  <si>
    <t>Triumph Vinyl</t>
  </si>
  <si>
    <t>Murrah</t>
  </si>
  <si>
    <t>Triad 645168</t>
  </si>
  <si>
    <t>we will give them 6,500 towards their septic</t>
  </si>
  <si>
    <t>Renegade 28x48</t>
  </si>
  <si>
    <t>Dalton Mendez</t>
  </si>
  <si>
    <t>sell at 125k</t>
  </si>
  <si>
    <t>Big Steve 32x56 4BR</t>
  </si>
  <si>
    <t>Igor Muniz</t>
  </si>
  <si>
    <t>Belen Pena</t>
  </si>
  <si>
    <t>Boucher</t>
  </si>
  <si>
    <t>sell for 113,000, pd off 6/24/24</t>
  </si>
  <si>
    <t xml:space="preserve">Lourdes Diaz </t>
  </si>
  <si>
    <t>Closed</t>
  </si>
  <si>
    <t>bus driver problem, paid Tu 6/4/24</t>
  </si>
  <si>
    <t>32011 Tulane 16x80 3/2</t>
  </si>
  <si>
    <t>Saucedo Bautista</t>
  </si>
  <si>
    <t>Pd Th 6/6</t>
  </si>
  <si>
    <t>Henry Escobar</t>
  </si>
  <si>
    <t>Absolute Value 28x76 5/3</t>
  </si>
  <si>
    <t>Soto/Chavez</t>
  </si>
  <si>
    <t>Farley Ortega</t>
  </si>
  <si>
    <t>Satisfaction Smartpanel 28x48 with SGD</t>
  </si>
  <si>
    <t>Adisney Ramirez Pena</t>
  </si>
  <si>
    <t>Christopher Benitez</t>
  </si>
  <si>
    <t>Contreras Moncada</t>
  </si>
  <si>
    <t>Mosley</t>
  </si>
  <si>
    <t>selling at 110,000</t>
  </si>
  <si>
    <t>Anthony Gonzalez</t>
  </si>
  <si>
    <t>Rodriguez is mother, Alma Sombal</t>
  </si>
  <si>
    <t>sold for 75,000, all money wired, diego did pad. Paid off 5/1</t>
  </si>
  <si>
    <t>Delight 14x60 Smart</t>
  </si>
  <si>
    <t>Yanez/Serrano</t>
  </si>
  <si>
    <t>pd off 4/30</t>
  </si>
  <si>
    <t>Rigeberto Chavez, Rolando Rodriguez</t>
  </si>
  <si>
    <t>Crazy 8 28x56 4BR</t>
  </si>
  <si>
    <t>Iris Veriana Espinoza</t>
  </si>
  <si>
    <t>still here, gave 200, need 680</t>
  </si>
  <si>
    <t>Sanchez Gonzalez, Martha Coronado</t>
  </si>
  <si>
    <t>soon</t>
  </si>
  <si>
    <t>A011190A</t>
  </si>
  <si>
    <t>Alina/Maribel Alvarez</t>
  </si>
  <si>
    <t>89k,5kdown</t>
  </si>
  <si>
    <t>THO Owns this house, pd off 11/1, $923 short on Ins</t>
  </si>
  <si>
    <t>New Vision Full T&amp;T Porch</t>
  </si>
  <si>
    <t>NV2806 Charleston 28x66 3br</t>
  </si>
  <si>
    <t>Colson</t>
  </si>
  <si>
    <t>152, we take trade, do pad, take real property apart</t>
  </si>
  <si>
    <t>Ivonne Suchite</t>
  </si>
  <si>
    <t>Silbestre Corpus</t>
  </si>
  <si>
    <t>pd off 4/11, payments starting June 1st, resigning contracts</t>
  </si>
  <si>
    <t>Grand 4 BR, Smart</t>
  </si>
  <si>
    <t>Jose Carrillo Ojeda</t>
  </si>
  <si>
    <t>Olga Rivera</t>
  </si>
  <si>
    <t>Had homeowners permit problem</t>
  </si>
  <si>
    <t>Simona Yac</t>
  </si>
  <si>
    <t>Model 3 Frenchman 16x76 box</t>
  </si>
  <si>
    <t>Benitez/Jacquilene</t>
  </si>
  <si>
    <t>Yarisela Sosa Palaez</t>
  </si>
  <si>
    <t>Ceferino Cruz</t>
  </si>
  <si>
    <t>Irma Castenada</t>
  </si>
  <si>
    <t>1660-2201 Pearl 16x60 2/2</t>
  </si>
  <si>
    <t>Leslie Urapo/Alberto Flores</t>
  </si>
  <si>
    <t>Elation Vinyl - WZ II</t>
  </si>
  <si>
    <t>Bermudez</t>
  </si>
  <si>
    <t>wap</t>
  </si>
  <si>
    <t>pd off 3/14</t>
  </si>
  <si>
    <t>Schubert</t>
  </si>
  <si>
    <t>Joshua Fryer</t>
  </si>
  <si>
    <t>Wonder Smartpanel 28x72</t>
  </si>
  <si>
    <t>Luis Berlanga</t>
  </si>
  <si>
    <t>Harwell</t>
  </si>
  <si>
    <t>Rios Vazquez</t>
  </si>
  <si>
    <t>15843AB</t>
  </si>
  <si>
    <t>VM Premier 150VY32483E</t>
  </si>
  <si>
    <t>Zorette Lockhart</t>
  </si>
  <si>
    <t>taking trade, This house has trimout service</t>
  </si>
  <si>
    <t>Sindy Alvarado Trochez</t>
  </si>
  <si>
    <t>Melissa Tellez</t>
  </si>
  <si>
    <t>Bliss 14x56 Vinyl</t>
  </si>
  <si>
    <t>James T Wortham</t>
  </si>
  <si>
    <t>Garcia Tapia</t>
  </si>
  <si>
    <t>Toribio Barrera</t>
  </si>
  <si>
    <t>Dauphine</t>
  </si>
  <si>
    <t>Paul Davis</t>
  </si>
  <si>
    <t>Sold at $155,000, concrete slab, pd off 1/12</t>
  </si>
  <si>
    <t>Glory Vinyl Tan with White</t>
  </si>
  <si>
    <t>Imelda Coreas</t>
  </si>
  <si>
    <t>flood cert signature sent in</t>
  </si>
  <si>
    <t>Favela</t>
  </si>
  <si>
    <t>Used House (Miles Trade)</t>
  </si>
  <si>
    <t>Palm Harbor 16x80 3/2</t>
  </si>
  <si>
    <t>Edwin Marchan Marcano</t>
  </si>
  <si>
    <t>Pd off 12/28/23</t>
  </si>
  <si>
    <t>Hector Carlos Sosa</t>
  </si>
  <si>
    <t>Escobar Ayala, Merlin Abarca</t>
  </si>
  <si>
    <t>28x44 VM</t>
  </si>
  <si>
    <t>Esparza</t>
  </si>
  <si>
    <t>Mariacruz Gurrusquieta</t>
  </si>
  <si>
    <t>Pd off 12/28/23, sell at $57,000</t>
  </si>
  <si>
    <t>Carlos Arjona Esmerelda</t>
  </si>
  <si>
    <t>Yunior Gomez</t>
  </si>
  <si>
    <t>Etanislado Peralta</t>
  </si>
  <si>
    <t>pd off Mo 11/20, working on pad</t>
  </si>
  <si>
    <t>Model 5 Canal 16x80</t>
  </si>
  <si>
    <t>Astrid Ortiz</t>
  </si>
  <si>
    <t>sell at 102,500, pay ins (1771) and 3,000 appliances, pad/drive (3000), has pad, no drive</t>
  </si>
  <si>
    <t>Manuel Pina</t>
  </si>
  <si>
    <t>pd off Tu 11/28</t>
  </si>
  <si>
    <t>We 11/22</t>
  </si>
  <si>
    <t>Absolute Value 28x76</t>
  </si>
  <si>
    <t>Kaila Brooks</t>
  </si>
  <si>
    <t>Triumph Smartpanel 28x76</t>
  </si>
  <si>
    <t>Cesar Perez</t>
  </si>
  <si>
    <t>Glory Smartpanel</t>
  </si>
  <si>
    <t>Julio Zuniga</t>
  </si>
  <si>
    <t>sold at 58,900, we pay half of pad</t>
  </si>
  <si>
    <t>Jose Xiomara Hdz</t>
  </si>
  <si>
    <t>Compass 225 16x60 2/2</t>
  </si>
  <si>
    <t>Adriana Lovos</t>
  </si>
  <si>
    <t>PT78</t>
  </si>
  <si>
    <t>Ana Menjivar</t>
  </si>
  <si>
    <t>Nestor Estevez</t>
  </si>
  <si>
    <t>Jose Castillo Almanza</t>
  </si>
  <si>
    <t>damage to belly board, plumbing and wiring</t>
  </si>
  <si>
    <t>Miguel Rdz.</t>
  </si>
  <si>
    <t>Bayou 16x72</t>
  </si>
  <si>
    <t>Yuniesky Bravo</t>
  </si>
  <si>
    <t>Pd off 10/10</t>
  </si>
  <si>
    <t>Erik Mtz</t>
  </si>
  <si>
    <t>Adela Chavez</t>
  </si>
  <si>
    <t>A-Rod Matamoras</t>
  </si>
  <si>
    <t>Richard Whitset</t>
  </si>
  <si>
    <t>20% on 109k</t>
  </si>
  <si>
    <t>moving from somewhere, 104k MTF</t>
  </si>
  <si>
    <t>Jose Mendoza Vasquez</t>
  </si>
  <si>
    <t>full denial</t>
  </si>
  <si>
    <t>wants 18 wide</t>
  </si>
  <si>
    <t>Florencio</t>
  </si>
  <si>
    <t>Wife owns trucking business, haven't done taxes, maybe Naomi</t>
  </si>
  <si>
    <t>THO PF Repo</t>
  </si>
  <si>
    <t>0889</t>
  </si>
  <si>
    <t>LH168032H</t>
  </si>
  <si>
    <t>Legacy Housing</t>
  </si>
  <si>
    <t>Leg Deal</t>
  </si>
  <si>
    <t>this one is the write off, terrible, terrible</t>
  </si>
  <si>
    <t>this one is pretty good, has scrubbed floor tiles</t>
  </si>
  <si>
    <t>no front door, but rock under bar</t>
  </si>
  <si>
    <t>Source</t>
  </si>
  <si>
    <t>HUD</t>
  </si>
  <si>
    <t>Approved Customers</t>
  </si>
  <si>
    <t>On Approval</t>
  </si>
  <si>
    <t>Victor Lopez</t>
  </si>
  <si>
    <t>selling Rosewood at 141k, they don’t have 27k downpayment, think they might have 7,000</t>
  </si>
  <si>
    <t>Chelsea Marie Diaz</t>
  </si>
  <si>
    <t>1 credit card maxed out, into collections</t>
  </si>
  <si>
    <t>applied 4 times, we are latest</t>
  </si>
  <si>
    <t>other guy on new vision who had somebody in mexico or whatever, 465 will be 35% if</t>
  </si>
  <si>
    <t>4,400 to texseven, 1,100 to Ruandy for improvements</t>
  </si>
  <si>
    <t>Wilson, WZ2</t>
  </si>
  <si>
    <t>Vivian Arredondo</t>
  </si>
  <si>
    <t>Mateos/Abrocio</t>
  </si>
  <si>
    <t>Junventino Davila</t>
  </si>
  <si>
    <t>Aspen 16x76 4 bedroom</t>
  </si>
  <si>
    <t>sold at 110k, pad 3,000, us half, them half, still might have to skirt</t>
  </si>
  <si>
    <t>called on Legacy 18 wide originally</t>
  </si>
  <si>
    <t>Eric and somebody cash buyer, supposed to come in and buy house for mom, extra trim kit</t>
  </si>
  <si>
    <t>Mr Vanya and Eric</t>
  </si>
  <si>
    <t>NTA1752541/2</t>
  </si>
  <si>
    <t>NTA1538488</t>
  </si>
  <si>
    <t>NTA1725717</t>
  </si>
  <si>
    <t>NTA1907198/9</t>
  </si>
  <si>
    <t>NTA1764955</t>
  </si>
  <si>
    <t>NTA1765128</t>
  </si>
  <si>
    <t>NTA1717130</t>
  </si>
  <si>
    <t>NTA1529178</t>
  </si>
  <si>
    <t>NTA1524864</t>
  </si>
  <si>
    <t>not sure, 96k singlewide, doing car payment stuff, and do VOE, frustrated now</t>
  </si>
  <si>
    <t>somewhere else before us, nobody since, emailed VOE to Adriana, all white jessup</t>
  </si>
  <si>
    <t>Fridge</t>
  </si>
  <si>
    <t>Stove</t>
  </si>
  <si>
    <t>DW</t>
  </si>
  <si>
    <t>AC</t>
  </si>
  <si>
    <t>yes</t>
  </si>
  <si>
    <t>no</t>
  </si>
  <si>
    <t>n/a</t>
  </si>
  <si>
    <t>Osdeny Mejias</t>
  </si>
  <si>
    <t>his employment higher, used his bad credit, try other bank?</t>
  </si>
  <si>
    <t>ebuilt</t>
  </si>
  <si>
    <t>no heat pump</t>
  </si>
  <si>
    <t>Glory Smart 14x76</t>
  </si>
  <si>
    <t>Delight Smartpanel 14x60</t>
  </si>
  <si>
    <t>Bourbon 32x76</t>
  </si>
  <si>
    <t>yes/in house</t>
  </si>
  <si>
    <t>downpayment 2,500, put in stove, fridge</t>
  </si>
  <si>
    <t>Lemech  Montano</t>
  </si>
  <si>
    <t>ebuilt, need heat pump</t>
  </si>
  <si>
    <t>Ma Zetina Perez</t>
  </si>
  <si>
    <t>have 6,000</t>
  </si>
  <si>
    <t>doesn't want used</t>
  </si>
  <si>
    <t>Andrade</t>
  </si>
  <si>
    <t>Alely Valenzuela</t>
  </si>
  <si>
    <t>10%, MTF 27,900, 575 credit</t>
  </si>
  <si>
    <t>great installment, cc within 40$ of max, one 60 and 90, owes 860 outside</t>
  </si>
  <si>
    <t>S-2468-42-AMO - 3.5T</t>
  </si>
  <si>
    <t>2017 1272-32A - 2T</t>
  </si>
  <si>
    <t>S-2468-42A - 3.5T</t>
  </si>
  <si>
    <t>3.5T</t>
  </si>
  <si>
    <t>2T</t>
  </si>
  <si>
    <t>3T</t>
  </si>
  <si>
    <t>2.5T</t>
  </si>
  <si>
    <t>Daniel Fernandez</t>
  </si>
  <si>
    <t>have one more in warehouse, don't know what size</t>
  </si>
  <si>
    <t>Haley Hajek</t>
  </si>
  <si>
    <t>Pinon Campuzano</t>
  </si>
  <si>
    <t>Surit Mondelo</t>
  </si>
  <si>
    <t>Qt</t>
  </si>
  <si>
    <t>maybe back in was on satisfaction, now be maple smart</t>
  </si>
  <si>
    <t>approved at 65k with 13k down</t>
  </si>
  <si>
    <t>Looks like Alex must have already taken this house, with all the shit</t>
  </si>
  <si>
    <t>Richard Damon</t>
  </si>
  <si>
    <t>Jaziel Fonseca</t>
  </si>
  <si>
    <t>yes, heat pump</t>
  </si>
  <si>
    <t>no AC, had 10k value, plus expenses (pickup, redo, del/set)</t>
  </si>
  <si>
    <t>Jose Sabrina Sagastegui</t>
  </si>
  <si>
    <t>Miranda Galvan</t>
  </si>
  <si>
    <t>Champion Dumonde at 157,000ish, will go up</t>
  </si>
  <si>
    <t>485 credit score, multiple repos, 2 cars, lots and lots of lates….</t>
  </si>
  <si>
    <t>freight 2,950.00</t>
  </si>
  <si>
    <t>pretty bad, roof leaks, cabinets fell off</t>
  </si>
  <si>
    <t>don’t have</t>
  </si>
  <si>
    <t xml:space="preserve">Claudio Dubon </t>
  </si>
  <si>
    <t>moved to 2468 repo</t>
  </si>
  <si>
    <t>Jeremy Parker</t>
  </si>
  <si>
    <t>Jose Ballesteros</t>
  </si>
  <si>
    <t>100k singlewide, think Jessup, TH land, employment w2/1099 issues</t>
  </si>
  <si>
    <t>back after thanksgiving, not Thomas, Elizabeth 865-357-3805</t>
  </si>
  <si>
    <t>Cody Austin Erwin</t>
  </si>
  <si>
    <t>wants DW, but no clue, 0 but terrible internal</t>
  </si>
  <si>
    <t>Qt 136566</t>
  </si>
  <si>
    <t>LH-186822FLA</t>
  </si>
  <si>
    <t>60k, 10 down, 7yrs, 906.88 plus escrow</t>
  </si>
  <si>
    <t>down is $5,860 short</t>
  </si>
  <si>
    <t>Calixto Montalvo</t>
  </si>
  <si>
    <t>maybe on the 16x76 TRU</t>
  </si>
  <si>
    <t>Tellez Estrada</t>
  </si>
  <si>
    <t>Alex took used, gave check for 18k</t>
  </si>
  <si>
    <t>was into curtailment, 74029.44 was payoff</t>
  </si>
  <si>
    <t>Vickie Anetra Mitchell</t>
  </si>
  <si>
    <t>have one 410 and one R22, one fielder, one walter</t>
  </si>
  <si>
    <t>check for $7,500</t>
  </si>
  <si>
    <t>Marco Antonio Ochoa</t>
  </si>
  <si>
    <t>Rafael Solorzano</t>
  </si>
  <si>
    <t>NTA1809215</t>
  </si>
  <si>
    <t>Was WAP</t>
  </si>
  <si>
    <t>Cappaert WZ 2</t>
  </si>
  <si>
    <t>Oak 28x56 (Marvel 4)</t>
  </si>
  <si>
    <t>Molly 16x56</t>
  </si>
  <si>
    <t>12.9, 10yrs</t>
  </si>
  <si>
    <t>Smart Magnolia 14x76 (Glory)</t>
  </si>
  <si>
    <t>20%, 8k disc, 7k improvements, truck we need to take in trade kind of, they have 20k</t>
  </si>
  <si>
    <t>MTF of 52,700</t>
  </si>
  <si>
    <t>11/26 Storage</t>
  </si>
  <si>
    <t>none</t>
  </si>
  <si>
    <t>Alex Trujillo taking this house at 3k, we get 2k</t>
  </si>
  <si>
    <t>8k down, on 66k, but other was 59.9k?, or 8k on 69.5k for newer</t>
  </si>
  <si>
    <t>Oscar Aguila Rdz</t>
  </si>
  <si>
    <t>Beatriz Infantes Caballero</t>
  </si>
  <si>
    <t>Tennie Denson</t>
  </si>
  <si>
    <t>budget out by 1200, credit score 636, MTF 31k, housing ratio at 71%</t>
  </si>
  <si>
    <t>MTF of 31,800</t>
  </si>
  <si>
    <t>Rios Berdines</t>
  </si>
  <si>
    <t>0 credit, 0 credit, then bad credit.  Can't get it put together to make it less than 35%</t>
  </si>
  <si>
    <t>Eblyn Serrano Alfaro</t>
  </si>
  <si>
    <t>Cavco Valumax permier 32684F, currently 1/5</t>
  </si>
  <si>
    <t>200$ down, hard 35%</t>
  </si>
  <si>
    <t>Ordonez Herrera</t>
  </si>
  <si>
    <t>Qt 021655</t>
  </si>
  <si>
    <t>Kids with new baby, probably out</t>
  </si>
  <si>
    <t>was on Aspen, but they want bigger</t>
  </si>
  <si>
    <t>12/4-12/8</t>
  </si>
  <si>
    <t>Champion Creole special order, appoval at 166k</t>
  </si>
  <si>
    <t>Frances S Jackson</t>
  </si>
  <si>
    <t>only ID's so far, we have $1,000</t>
  </si>
  <si>
    <t>he said he has personal problem, still wants house, but will be next yr.</t>
  </si>
  <si>
    <t>Was 3510195, Vanderbilt Repo, land-in-lieu</t>
  </si>
  <si>
    <t>Smart, Dogwood 14x60</t>
  </si>
  <si>
    <t>Mora Maydelin Cespedes</t>
  </si>
  <si>
    <t>didn't like panama at 115+7, work for staffing company</t>
  </si>
  <si>
    <t>they owe us 15,200, factory trimout requires water, elec, sewer, etc</t>
  </si>
  <si>
    <t>Canceled</t>
  </si>
  <si>
    <t>104k at 10%</t>
  </si>
  <si>
    <t>on 10/30 told 21st they were out</t>
  </si>
  <si>
    <t>Clayton DW, going to Katy, were going to park, with rent, can only do small</t>
  </si>
  <si>
    <t>Yulianny Garcia Paz</t>
  </si>
  <si>
    <t>Raul Benavides</t>
  </si>
  <si>
    <t>Metro Lady, got to find land, then end up in Hospital</t>
  </si>
  <si>
    <t>at 159k, hard 15%, complete ghost, tight budget</t>
  </si>
  <si>
    <t>hard 15%</t>
  </si>
  <si>
    <t>pad issue, $11,600 deposit slip, Shelby Deal</t>
  </si>
  <si>
    <t>Nicholas Chiapetta</t>
  </si>
  <si>
    <t>going to 3rd st, but 10% down</t>
  </si>
  <si>
    <t>Eisenhower 32x60 3br Front kitchen</t>
  </si>
  <si>
    <t>Wilson 16x80</t>
  </si>
  <si>
    <t>they are out</t>
  </si>
  <si>
    <t>we have $8,000, has another app before us, Tejas, never did anything on it either</t>
  </si>
  <si>
    <t>Baytown, we do 10,000 needs well 15k, he does other 5k</t>
  </si>
  <si>
    <t>wife wants real house</t>
  </si>
  <si>
    <t>was on expedition</t>
  </si>
  <si>
    <t>this is the kidney transplant lady</t>
  </si>
  <si>
    <t>closed, 50k, 6 down, 7 yrs</t>
  </si>
  <si>
    <t>$1,000 skirting</t>
  </si>
  <si>
    <t>Henry Ray Brooks Jr</t>
  </si>
  <si>
    <t>Alex Joe Puentes</t>
  </si>
  <si>
    <t>Denied, 35%</t>
  </si>
  <si>
    <t>submitted at 159k</t>
  </si>
  <si>
    <t>now has new address, 4524 Meade Rd, well or septic check also</t>
  </si>
  <si>
    <t>5000$ check to him apparently</t>
  </si>
  <si>
    <t>Macey</t>
  </si>
  <si>
    <t>$200 deposit</t>
  </si>
  <si>
    <t>Daughter's name is Jasmine</t>
  </si>
  <si>
    <t>disputed Square, $500, 401k, sell mobile home, not Thomas, Blake 865-801-9258, sales 162,040</t>
  </si>
  <si>
    <t>Brian Gomez</t>
  </si>
  <si>
    <t>Adriana/Lee</t>
  </si>
  <si>
    <t>we paid ins 1,078</t>
  </si>
  <si>
    <t>no clue, 100k</t>
  </si>
  <si>
    <t>Raul Medina</t>
  </si>
  <si>
    <t>counteroffer at 5%</t>
  </si>
  <si>
    <t>land/home app</t>
  </si>
  <si>
    <t>THO ?</t>
  </si>
  <si>
    <t>Lee did written app on a Saturday for Adriana's customer, he said he had 500's credit score, actually 387</t>
  </si>
  <si>
    <t>Rudy Diaz</t>
  </si>
  <si>
    <t>Cardenas</t>
  </si>
  <si>
    <t>Bryan Lopez Santos</t>
  </si>
  <si>
    <t>Francheshi Cabrera</t>
  </si>
  <si>
    <t>Paula Rodriguez</t>
  </si>
  <si>
    <t>no clue, approval at 115,000</t>
  </si>
  <si>
    <t>denial at 110k at 5%</t>
  </si>
  <si>
    <t>denial at 159k at 5.03%</t>
  </si>
  <si>
    <t>not ordered</t>
  </si>
  <si>
    <t>Jesse Pennington</t>
  </si>
  <si>
    <t>spec'ing Bourbon</t>
  </si>
  <si>
    <t>Denied, 35%, talking to uncle about property</t>
  </si>
  <si>
    <t>nowhere to live</t>
  </si>
  <si>
    <t>freight 3632.3</t>
  </si>
  <si>
    <t>Redwood 28x76</t>
  </si>
  <si>
    <t>Buying house for mom, husband not in, celeste talked to her also</t>
  </si>
  <si>
    <t>ebuilt by 6/30</t>
  </si>
  <si>
    <t>investor trying to do house</t>
  </si>
  <si>
    <t>cash or financed</t>
  </si>
  <si>
    <t>Bay City Guy</t>
  </si>
  <si>
    <t>working on permit stuff</t>
  </si>
  <si>
    <t>selling at 60k, land ready, we are doing labor hookups</t>
  </si>
  <si>
    <t>Brian Parrales Garmendez</t>
  </si>
  <si>
    <t>6300 on 125k, customer only has 1,500</t>
  </si>
  <si>
    <t>Valdes Vera</t>
  </si>
  <si>
    <t>River Aguilar Carlos Eduardo</t>
  </si>
  <si>
    <t>Special order Wilson</t>
  </si>
  <si>
    <t>John and Courtney Conn</t>
  </si>
  <si>
    <t>THO Repo Section</t>
  </si>
  <si>
    <t>21st Repo Section</t>
  </si>
  <si>
    <t>these are the kids who want the TRU oak, but….</t>
  </si>
  <si>
    <t>land/home at 285k, 12/29 told 21st having issues finding land</t>
  </si>
  <si>
    <t>approval changed to 97k at 10%, applied by himself at Tejas, now new at 118,600</t>
  </si>
  <si>
    <t>will be hard 20%</t>
  </si>
  <si>
    <t>Roverto Anguiano</t>
  </si>
  <si>
    <t>cash kids, pd off 2/2/26</t>
  </si>
  <si>
    <t>Roverto 539, hers was 552, budget looks good, money coming from 401k, approved at 115,400</t>
  </si>
  <si>
    <t>refurb in progress, needs few more wks for rest of down</t>
  </si>
  <si>
    <t>Latresia Sweed</t>
  </si>
  <si>
    <t>Jessup Jackson 16x80 with fireplace</t>
  </si>
  <si>
    <t>Offline wk of 2/27, 25,090 down, last wk of Feb</t>
  </si>
  <si>
    <t>Not Kadima</t>
  </si>
  <si>
    <t>2011 LH-188032A - 3T</t>
  </si>
  <si>
    <t>2018 Cappaert 7107, 15x50 Porch</t>
  </si>
  <si>
    <t>2017 S-1672-32B - 2.5T</t>
  </si>
  <si>
    <t>2017 H-1672-32C</t>
  </si>
  <si>
    <t>2017 S-1256-21A - 2T</t>
  </si>
  <si>
    <t>2016 H-1684-32A - 3T</t>
  </si>
  <si>
    <t>16 wide</t>
  </si>
  <si>
    <t>maybe, waiting on him to bring $</t>
  </si>
  <si>
    <t>employment cleared, waiting on $ to order</t>
  </si>
  <si>
    <t>NTA2353439/40</t>
  </si>
  <si>
    <t>can do with 10k down, waiting on customer</t>
  </si>
  <si>
    <t>Repo #</t>
  </si>
  <si>
    <t>Labeled Cervantes</t>
  </si>
  <si>
    <t>10 Days out</t>
  </si>
  <si>
    <t>about 2 wks</t>
  </si>
  <si>
    <t>Thinking of Panama, can go to 270k with letter about child support, 125k without foster $</t>
  </si>
  <si>
    <t>refurb done, was red smart panel, repainted blue, metal roof</t>
  </si>
  <si>
    <t>was Matos house, loan amount was 191,200</t>
  </si>
  <si>
    <t>2019 C324432A</t>
  </si>
  <si>
    <t>$ House only</t>
  </si>
  <si>
    <t>2026 Bourbon 32x76 4/2</t>
  </si>
  <si>
    <t>Need exp letter and new SSN stuff to renew. Sergios relative.</t>
  </si>
  <si>
    <t>Charicka Miller</t>
  </si>
  <si>
    <t>35%, MTF of 56,500</t>
  </si>
  <si>
    <t>submitted at 111k</t>
  </si>
  <si>
    <t>Taylor R Jarvis</t>
  </si>
  <si>
    <t>Iliana Morales</t>
  </si>
  <si>
    <t>contracts</t>
  </si>
  <si>
    <t>closing Mo, need 7,100 deposit slip</t>
  </si>
  <si>
    <t>Iliana Moraleas</t>
  </si>
  <si>
    <t xml:space="preserve">$100 deposit </t>
  </si>
  <si>
    <t xml:space="preserve">waiting taxes </t>
  </si>
  <si>
    <t>RV Trade, probably turn into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</si>
</sst>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1"/>
      <color theme="1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4"/>
      <color theme="1"/>
      <name val="Calibri"/>
      <family val="2"/>
    </font>
    <font>
      <sz val="11"/>
      <color rgb="FFFFC000"/>
      <name val="Calibri"/>
      <family val="2"/>
    </font>
    <font>
      <sz val="11"/>
      <color rgb="FF212529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scheme val="minor"/>
    </font>
    <font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E0000"/>
        <bgColor rgb="FFEE0000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EE0000"/>
      </patternFill>
    </fill>
    <fill>
      <patternFill patternType="solid">
        <fgColor rgb="FFFF0000"/>
        <bgColor rgb="FFFFC000"/>
      </patternFill>
    </fill>
    <fill>
      <patternFill patternType="solid">
        <fgColor rgb="FFFF0000"/>
        <bgColor rgb="FFEE0000"/>
      </patternFill>
    </fill>
    <fill>
      <patternFill patternType="solid">
        <fgColor rgb="FFFFFF00"/>
        <bgColor rgb="FFEE0000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/>
    <xf numFmtId="44" fontId="2" fillId="0" borderId="0" xfId="0" applyNumberFormat="1" applyFont="1"/>
    <xf numFmtId="44" fontId="3" fillId="0" borderId="0" xfId="0" applyNumberFormat="1" applyFont="1"/>
    <xf numFmtId="0" fontId="1" fillId="0" borderId="1" xfId="0" applyFont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0" fontId="1" fillId="0" borderId="0" xfId="0" applyFont="1"/>
    <xf numFmtId="14" fontId="2" fillId="0" borderId="0" xfId="0" applyNumberFormat="1" applyFont="1"/>
    <xf numFmtId="16" fontId="1" fillId="2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14" fontId="2" fillId="3" borderId="2" xfId="0" applyNumberFormat="1" applyFont="1" applyFill="1" applyBorder="1" applyAlignment="1">
      <alignment horizontal="right"/>
    </xf>
    <xf numFmtId="44" fontId="2" fillId="3" borderId="2" xfId="0" applyNumberFormat="1" applyFont="1" applyFill="1" applyBorder="1"/>
    <xf numFmtId="16" fontId="2" fillId="0" borderId="0" xfId="0" applyNumberFormat="1" applyFont="1"/>
    <xf numFmtId="0" fontId="3" fillId="0" borderId="0" xfId="0" applyFont="1"/>
    <xf numFmtId="0" fontId="2" fillId="3" borderId="2" xfId="0" applyFont="1" applyFill="1" applyBorder="1" applyAlignment="1">
      <alignment horizontal="right"/>
    </xf>
    <xf numFmtId="0" fontId="2" fillId="2" borderId="2" xfId="0" applyFont="1" applyFill="1" applyBorder="1"/>
    <xf numFmtId="14" fontId="2" fillId="0" borderId="0" xfId="0" applyNumberFormat="1" applyFont="1" applyAlignment="1">
      <alignment horizontal="right"/>
    </xf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right"/>
    </xf>
    <xf numFmtId="164" fontId="2" fillId="0" borderId="0" xfId="0" applyNumberFormat="1" applyFont="1"/>
    <xf numFmtId="44" fontId="2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/>
    <xf numFmtId="14" fontId="2" fillId="4" borderId="2" xfId="0" applyNumberFormat="1" applyFont="1" applyFill="1" applyBorder="1" applyAlignment="1">
      <alignment horizontal="right"/>
    </xf>
    <xf numFmtId="44" fontId="2" fillId="4" borderId="2" xfId="0" applyNumberFormat="1" applyFont="1" applyFill="1" applyBorder="1"/>
    <xf numFmtId="0" fontId="2" fillId="4" borderId="2" xfId="0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14" fontId="2" fillId="5" borderId="2" xfId="0" applyNumberFormat="1" applyFont="1" applyFill="1" applyBorder="1"/>
    <xf numFmtId="0" fontId="3" fillId="4" borderId="2" xfId="0" applyFont="1" applyFill="1" applyBorder="1"/>
    <xf numFmtId="0" fontId="1" fillId="0" borderId="0" xfId="0" applyFont="1" applyAlignment="1">
      <alignment horizontal="left"/>
    </xf>
    <xf numFmtId="10" fontId="2" fillId="0" borderId="0" xfId="0" applyNumberFormat="1" applyFont="1" applyAlignment="1">
      <alignment horizontal="center"/>
    </xf>
    <xf numFmtId="0" fontId="2" fillId="6" borderId="2" xfId="0" applyFont="1" applyFill="1" applyBorder="1" applyAlignment="1">
      <alignment horizontal="left"/>
    </xf>
    <xf numFmtId="14" fontId="2" fillId="6" borderId="2" xfId="0" applyNumberFormat="1" applyFont="1" applyFill="1" applyBorder="1" applyAlignment="1">
      <alignment horizontal="right"/>
    </xf>
    <xf numFmtId="0" fontId="2" fillId="7" borderId="2" xfId="0" applyFont="1" applyFill="1" applyBorder="1"/>
    <xf numFmtId="9" fontId="2" fillId="0" borderId="0" xfId="0" applyNumberFormat="1" applyFont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4" fontId="2" fillId="3" borderId="2" xfId="0" applyNumberFormat="1" applyFont="1" applyFill="1" applyBorder="1" applyAlignment="1">
      <alignment horizontal="right"/>
    </xf>
    <xf numFmtId="14" fontId="2" fillId="3" borderId="2" xfId="0" applyNumberFormat="1" applyFont="1" applyFill="1" applyBorder="1"/>
    <xf numFmtId="0" fontId="2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14" fontId="2" fillId="3" borderId="2" xfId="0" applyNumberFormat="1" applyFont="1" applyFill="1" applyBorder="1" applyAlignment="1">
      <alignment horizontal="right" vertical="center"/>
    </xf>
    <xf numFmtId="14" fontId="2" fillId="5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/>
    <xf numFmtId="0" fontId="1" fillId="0" borderId="0" xfId="0" applyFont="1" applyAlignment="1">
      <alignment vertical="center"/>
    </xf>
    <xf numFmtId="44" fontId="1" fillId="0" borderId="0" xfId="0" applyNumberFormat="1" applyFont="1"/>
    <xf numFmtId="4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44" fontId="2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4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2" fillId="2" borderId="2" xfId="0" applyFont="1" applyFill="1" applyBorder="1" applyAlignment="1">
      <alignment horizontal="left"/>
    </xf>
    <xf numFmtId="0" fontId="2" fillId="3" borderId="2" xfId="0" quotePrefix="1" applyFont="1" applyFill="1" applyBorder="1" applyAlignment="1">
      <alignment horizontal="left"/>
    </xf>
    <xf numFmtId="0" fontId="3" fillId="2" borderId="2" xfId="0" applyFont="1" applyFill="1" applyBorder="1"/>
    <xf numFmtId="44" fontId="2" fillId="3" borderId="2" xfId="0" applyNumberFormat="1" applyFont="1" applyFill="1" applyBorder="1" applyAlignment="1">
      <alignment horizontal="center"/>
    </xf>
    <xf numFmtId="0" fontId="7" fillId="3" borderId="2" xfId="0" applyFont="1" applyFill="1" applyBorder="1"/>
    <xf numFmtId="16" fontId="1" fillId="2" borderId="2" xfId="0" applyNumberFormat="1" applyFont="1" applyFill="1" applyBorder="1" applyAlignment="1">
      <alignment horizontal="left"/>
    </xf>
    <xf numFmtId="20" fontId="1" fillId="2" borderId="2" xfId="0" applyNumberFormat="1" applyFont="1" applyFill="1" applyBorder="1" applyAlignment="1">
      <alignment horizontal="center"/>
    </xf>
    <xf numFmtId="0" fontId="8" fillId="0" borderId="0" xfId="0" applyFont="1" applyAlignment="1">
      <alignment horizontal="left"/>
    </xf>
    <xf numFmtId="14" fontId="1" fillId="2" borderId="2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0" fontId="2" fillId="9" borderId="0" xfId="0" applyFont="1" applyFill="1" applyAlignment="1">
      <alignment horizontal="left"/>
    </xf>
    <xf numFmtId="0" fontId="2" fillId="9" borderId="0" xfId="0" applyFont="1" applyFill="1"/>
    <xf numFmtId="14" fontId="2" fillId="9" borderId="0" xfId="0" applyNumberFormat="1" applyFont="1" applyFill="1" applyAlignment="1">
      <alignment horizontal="right"/>
    </xf>
    <xf numFmtId="44" fontId="2" fillId="9" borderId="0" xfId="0" applyNumberFormat="1" applyFont="1" applyFill="1"/>
    <xf numFmtId="0" fontId="2" fillId="0" borderId="8" xfId="0" applyFont="1" applyBorder="1"/>
    <xf numFmtId="0" fontId="2" fillId="10" borderId="8" xfId="0" applyFont="1" applyFill="1" applyBorder="1" applyAlignment="1">
      <alignment horizontal="left"/>
    </xf>
    <xf numFmtId="14" fontId="2" fillId="10" borderId="8" xfId="0" applyNumberFormat="1" applyFont="1" applyFill="1" applyBorder="1" applyAlignment="1">
      <alignment horizontal="right"/>
    </xf>
    <xf numFmtId="44" fontId="2" fillId="10" borderId="8" xfId="0" applyNumberFormat="1" applyFont="1" applyFill="1" applyBorder="1"/>
    <xf numFmtId="0" fontId="2" fillId="10" borderId="8" xfId="0" applyFont="1" applyFill="1" applyBorder="1"/>
    <xf numFmtId="44" fontId="2" fillId="11" borderId="2" xfId="0" applyNumberFormat="1" applyFont="1" applyFill="1" applyBorder="1"/>
    <xf numFmtId="0" fontId="2" fillId="11" borderId="2" xfId="0" applyFont="1" applyFill="1" applyBorder="1"/>
    <xf numFmtId="14" fontId="2" fillId="0" borderId="8" xfId="0" applyNumberFormat="1" applyFont="1" applyBorder="1" applyAlignment="1">
      <alignment horizontal="right"/>
    </xf>
    <xf numFmtId="0" fontId="2" fillId="12" borderId="0" xfId="0" applyFont="1" applyFill="1"/>
    <xf numFmtId="0" fontId="2" fillId="13" borderId="0" xfId="0" applyFont="1" applyFill="1" applyAlignment="1">
      <alignment horizontal="left"/>
    </xf>
    <xf numFmtId="0" fontId="2" fillId="13" borderId="0" xfId="0" applyFont="1" applyFill="1"/>
    <xf numFmtId="14" fontId="2" fillId="13" borderId="0" xfId="0" applyNumberFormat="1" applyFont="1" applyFill="1" applyAlignment="1">
      <alignment horizontal="right"/>
    </xf>
    <xf numFmtId="44" fontId="2" fillId="13" borderId="0" xfId="0" applyNumberFormat="1" applyFont="1" applyFill="1" applyAlignment="1">
      <alignment horizontal="right"/>
    </xf>
    <xf numFmtId="0" fontId="2" fillId="14" borderId="2" xfId="0" applyFont="1" applyFill="1" applyBorder="1"/>
    <xf numFmtId="164" fontId="1" fillId="0" borderId="0" xfId="0" applyNumberFormat="1" applyFont="1" applyAlignment="1">
      <alignment horizontal="center"/>
    </xf>
    <xf numFmtId="44" fontId="2" fillId="13" borderId="0" xfId="0" applyNumberFormat="1" applyFont="1" applyFill="1"/>
    <xf numFmtId="0" fontId="2" fillId="10" borderId="0" xfId="0" applyFont="1" applyFill="1" applyAlignment="1">
      <alignment horizontal="left"/>
    </xf>
    <xf numFmtId="44" fontId="2" fillId="11" borderId="8" xfId="0" applyNumberFormat="1" applyFont="1" applyFill="1" applyBorder="1"/>
    <xf numFmtId="0" fontId="2" fillId="15" borderId="2" xfId="0" applyFont="1" applyFill="1" applyBorder="1" applyAlignment="1">
      <alignment horizontal="left"/>
    </xf>
    <xf numFmtId="0" fontId="2" fillId="15" borderId="2" xfId="0" applyFont="1" applyFill="1" applyBorder="1"/>
    <xf numFmtId="14" fontId="2" fillId="15" borderId="2" xfId="0" applyNumberFormat="1" applyFont="1" applyFill="1" applyBorder="1" applyAlignment="1">
      <alignment horizontal="right"/>
    </xf>
    <xf numFmtId="44" fontId="2" fillId="15" borderId="2" xfId="0" applyNumberFormat="1" applyFont="1" applyFill="1" applyBorder="1"/>
    <xf numFmtId="16" fontId="1" fillId="2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/>
    <xf numFmtId="14" fontId="2" fillId="3" borderId="8" xfId="0" applyNumberFormat="1" applyFont="1" applyFill="1" applyBorder="1" applyAlignment="1">
      <alignment horizontal="right"/>
    </xf>
    <xf numFmtId="44" fontId="2" fillId="3" borderId="8" xfId="0" applyNumberFormat="1" applyFont="1" applyFill="1" applyBorder="1"/>
    <xf numFmtId="0" fontId="2" fillId="2" borderId="8" xfId="0" applyFont="1" applyFill="1" applyBorder="1"/>
    <xf numFmtId="0" fontId="2" fillId="9" borderId="8" xfId="0" applyFont="1" applyFill="1" applyBorder="1" applyAlignment="1">
      <alignment horizontal="left"/>
    </xf>
    <xf numFmtId="0" fontId="2" fillId="9" borderId="8" xfId="0" applyFont="1" applyFill="1" applyBorder="1"/>
    <xf numFmtId="14" fontId="2" fillId="9" borderId="8" xfId="0" applyNumberFormat="1" applyFont="1" applyFill="1" applyBorder="1" applyAlignment="1">
      <alignment horizontal="right"/>
    </xf>
    <xf numFmtId="44" fontId="2" fillId="9" borderId="8" xfId="0" applyNumberFormat="1" applyFont="1" applyFill="1" applyBorder="1" applyAlignment="1">
      <alignment horizontal="right"/>
    </xf>
    <xf numFmtId="44" fontId="2" fillId="9" borderId="8" xfId="0" applyNumberFormat="1" applyFont="1" applyFill="1" applyBorder="1"/>
    <xf numFmtId="44" fontId="2" fillId="9" borderId="0" xfId="0" applyNumberFormat="1" applyFont="1" applyFill="1" applyAlignment="1">
      <alignment horizontal="center"/>
    </xf>
    <xf numFmtId="0" fontId="2" fillId="4" borderId="8" xfId="0" applyFont="1" applyFill="1" applyBorder="1" applyAlignment="1">
      <alignment horizontal="left"/>
    </xf>
    <xf numFmtId="0" fontId="2" fillId="4" borderId="8" xfId="0" applyFont="1" applyFill="1" applyBorder="1"/>
    <xf numFmtId="14" fontId="2" fillId="4" borderId="8" xfId="0" applyNumberFormat="1" applyFont="1" applyFill="1" applyBorder="1" applyAlignment="1">
      <alignment horizontal="right"/>
    </xf>
    <xf numFmtId="44" fontId="2" fillId="4" borderId="8" xfId="0" applyNumberFormat="1" applyFont="1" applyFill="1" applyBorder="1"/>
    <xf numFmtId="16" fontId="1" fillId="12" borderId="0" xfId="0" applyNumberFormat="1" applyFont="1" applyFill="1" applyAlignment="1">
      <alignment horizontal="center"/>
    </xf>
    <xf numFmtId="0" fontId="2" fillId="3" borderId="8" xfId="0" applyFont="1" applyFill="1" applyBorder="1" applyAlignment="1">
      <alignment horizontal="right"/>
    </xf>
    <xf numFmtId="14" fontId="2" fillId="17" borderId="2" xfId="0" applyNumberFormat="1" applyFont="1" applyFill="1" applyBorder="1" applyAlignment="1">
      <alignment horizontal="right"/>
    </xf>
    <xf numFmtId="0" fontId="2" fillId="15" borderId="2" xfId="0" applyFont="1" applyFill="1" applyBorder="1" applyAlignment="1">
      <alignment horizontal="right"/>
    </xf>
    <xf numFmtId="0" fontId="1" fillId="0" borderId="10" xfId="0" applyFont="1" applyBorder="1" applyAlignment="1">
      <alignment horizontal="center"/>
    </xf>
    <xf numFmtId="44" fontId="1" fillId="0" borderId="10" xfId="0" applyNumberFormat="1" applyFont="1" applyBorder="1" applyAlignment="1">
      <alignment horizontal="center"/>
    </xf>
    <xf numFmtId="0" fontId="2" fillId="13" borderId="0" xfId="0" applyFont="1" applyFill="1" applyAlignment="1">
      <alignment horizontal="right"/>
    </xf>
    <xf numFmtId="14" fontId="2" fillId="18" borderId="2" xfId="0" applyNumberFormat="1" applyFont="1" applyFill="1" applyBorder="1" applyAlignment="1">
      <alignment horizontal="right"/>
    </xf>
    <xf numFmtId="14" fontId="2" fillId="16" borderId="8" xfId="0" applyNumberFormat="1" applyFont="1" applyFill="1" applyBorder="1" applyAlignment="1">
      <alignment horizontal="right"/>
    </xf>
    <xf numFmtId="0" fontId="2" fillId="11" borderId="2" xfId="0" applyFont="1" applyFill="1" applyBorder="1" applyAlignment="1">
      <alignment horizontal="left"/>
    </xf>
    <xf numFmtId="14" fontId="2" fillId="11" borderId="2" xfId="0" applyNumberFormat="1" applyFont="1" applyFill="1" applyBorder="1" applyAlignment="1">
      <alignment horizontal="right"/>
    </xf>
    <xf numFmtId="0" fontId="2" fillId="9" borderId="0" xfId="0" applyFont="1" applyFill="1" applyAlignment="1">
      <alignment horizontal="right"/>
    </xf>
    <xf numFmtId="0" fontId="2" fillId="9" borderId="2" xfId="0" applyFont="1" applyFill="1" applyBorder="1" applyAlignment="1">
      <alignment horizontal="left"/>
    </xf>
    <xf numFmtId="0" fontId="2" fillId="9" borderId="2" xfId="0" applyFont="1" applyFill="1" applyBorder="1"/>
    <xf numFmtId="14" fontId="2" fillId="9" borderId="2" xfId="0" applyNumberFormat="1" applyFont="1" applyFill="1" applyBorder="1" applyAlignment="1">
      <alignment horizontal="right"/>
    </xf>
    <xf numFmtId="0" fontId="2" fillId="12" borderId="0" xfId="0" applyFont="1" applyFill="1" applyAlignment="1">
      <alignment horizontal="center"/>
    </xf>
    <xf numFmtId="0" fontId="2" fillId="12" borderId="2" xfId="0" applyFont="1" applyFill="1" applyBorder="1"/>
    <xf numFmtId="44" fontId="2" fillId="10" borderId="0" xfId="0" applyNumberFormat="1" applyFont="1" applyFill="1"/>
    <xf numFmtId="0" fontId="1" fillId="12" borderId="0" xfId="0" applyFont="1" applyFill="1" applyAlignment="1">
      <alignment horizontal="center"/>
    </xf>
    <xf numFmtId="0" fontId="2" fillId="11" borderId="8" xfId="0" applyFont="1" applyFill="1" applyBorder="1"/>
    <xf numFmtId="44" fontId="2" fillId="9" borderId="0" xfId="0" applyNumberFormat="1" applyFont="1" applyFill="1" applyAlignment="1">
      <alignment horizontal="right"/>
    </xf>
    <xf numFmtId="14" fontId="2" fillId="18" borderId="8" xfId="0" applyNumberFormat="1" applyFont="1" applyFill="1" applyBorder="1" applyAlignment="1">
      <alignment horizontal="right"/>
    </xf>
    <xf numFmtId="0" fontId="2" fillId="15" borderId="8" xfId="0" applyFont="1" applyFill="1" applyBorder="1" applyAlignment="1">
      <alignment horizontal="left"/>
    </xf>
    <xf numFmtId="0" fontId="2" fillId="15" borderId="8" xfId="0" applyFont="1" applyFill="1" applyBorder="1"/>
    <xf numFmtId="14" fontId="2" fillId="19" borderId="8" xfId="0" applyNumberFormat="1" applyFont="1" applyFill="1" applyBorder="1" applyAlignment="1">
      <alignment horizontal="right"/>
    </xf>
    <xf numFmtId="0" fontId="2" fillId="0" borderId="8" xfId="0" applyFont="1" applyBorder="1" applyAlignment="1">
      <alignment horizontal="left"/>
    </xf>
    <xf numFmtId="44" fontId="2" fillId="0" borderId="8" xfId="0" applyNumberFormat="1" applyFont="1" applyBorder="1"/>
    <xf numFmtId="0" fontId="2" fillId="9" borderId="8" xfId="0" applyFont="1" applyFill="1" applyBorder="1" applyAlignment="1">
      <alignment horizontal="right"/>
    </xf>
    <xf numFmtId="14" fontId="2" fillId="15" borderId="8" xfId="0" applyNumberFormat="1" applyFont="1" applyFill="1" applyBorder="1" applyAlignment="1">
      <alignment horizontal="right"/>
    </xf>
    <xf numFmtId="0" fontId="2" fillId="10" borderId="0" xfId="0" applyFont="1" applyFill="1"/>
    <xf numFmtId="14" fontId="2" fillId="10" borderId="0" xfId="0" applyNumberFormat="1" applyFont="1" applyFill="1" applyAlignment="1">
      <alignment horizontal="right"/>
    </xf>
    <xf numFmtId="0" fontId="2" fillId="10" borderId="0" xfId="0" applyFont="1" applyFill="1" applyAlignment="1">
      <alignment horizontal="right"/>
    </xf>
    <xf numFmtId="0" fontId="1" fillId="13" borderId="0" xfId="0" applyFont="1" applyFill="1" applyAlignment="1">
      <alignment horizontal="center"/>
    </xf>
    <xf numFmtId="0" fontId="10" fillId="12" borderId="0" xfId="0" applyFont="1" applyFill="1"/>
    <xf numFmtId="13" fontId="2" fillId="0" borderId="0" xfId="0" applyNumberFormat="1" applyFont="1" applyAlignment="1">
      <alignment horizontal="left"/>
    </xf>
    <xf numFmtId="0" fontId="11" fillId="0" borderId="0" xfId="1" applyAlignment="1">
      <alignment horizontal="left"/>
    </xf>
    <xf numFmtId="0" fontId="0" fillId="10" borderId="0" xfId="0" applyFill="1"/>
    <xf numFmtId="44" fontId="2" fillId="9" borderId="2" xfId="0" applyNumberFormat="1" applyFont="1" applyFill="1" applyBorder="1"/>
    <xf numFmtId="0" fontId="1" fillId="10" borderId="8" xfId="0" applyFont="1" applyFill="1" applyBorder="1" applyAlignment="1">
      <alignment horizontal="center"/>
    </xf>
    <xf numFmtId="0" fontId="12" fillId="10" borderId="8" xfId="0" applyFont="1" applyFill="1" applyBorder="1"/>
    <xf numFmtId="14" fontId="12" fillId="10" borderId="8" xfId="0" applyNumberFormat="1" applyFont="1" applyFill="1" applyBorder="1"/>
    <xf numFmtId="0" fontId="2" fillId="0" borderId="2" xfId="0" applyFont="1" applyBorder="1"/>
    <xf numFmtId="44" fontId="2" fillId="0" borderId="2" xfId="0" applyNumberFormat="1" applyFont="1" applyBorder="1"/>
    <xf numFmtId="0" fontId="12" fillId="0" borderId="8" xfId="0" applyFont="1" applyBorder="1"/>
    <xf numFmtId="0" fontId="12" fillId="9" borderId="8" xfId="0" applyFont="1" applyFill="1" applyBorder="1"/>
    <xf numFmtId="14" fontId="12" fillId="9" borderId="8" xfId="0" applyNumberFormat="1" applyFont="1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44" fontId="1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12" fillId="10" borderId="8" xfId="0" applyNumberFormat="1" applyFont="1" applyFill="1" applyBorder="1" applyAlignment="1">
      <alignment horizontal="right"/>
    </xf>
    <xf numFmtId="14" fontId="2" fillId="0" borderId="2" xfId="0" applyNumberFormat="1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4" fillId="0" borderId="9" xfId="0" applyFont="1" applyBorder="1"/>
    <xf numFmtId="0" fontId="1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1" fillId="8" borderId="6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164" fontId="1" fillId="0" borderId="8" xfId="0" applyNumberFormat="1" applyFont="1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NUL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40"/>
  <sheetViews>
    <sheetView tabSelected="1" workbookViewId="0">
      <selection activeCell="C23" sqref="C23"/>
    </sheetView>
  </sheetViews>
  <sheetFormatPr defaultColWidth="12.58203125" defaultRowHeight="15" customHeight="1" x14ac:dyDescent="0.3"/>
  <cols>
    <col min="1" max="1" width="12.58203125" customWidth="1"/>
    <col min="2" max="2" width="13.58203125" customWidth="1"/>
    <col min="3" max="3" width="20.58203125" customWidth="1"/>
    <col min="4" max="4" width="21.58203125" customWidth="1"/>
    <col min="5" max="5" width="10.58203125" customWidth="1"/>
    <col min="6" max="6" width="14.58203125" customWidth="1"/>
    <col min="7" max="7" width="13" customWidth="1"/>
    <col min="8" max="8" width="13.5" customWidth="1"/>
    <col min="9" max="9" width="11.5" customWidth="1"/>
    <col min="10" max="10" width="12.08203125" customWidth="1"/>
    <col min="11" max="11" width="12.58203125" customWidth="1"/>
    <col min="12" max="12" width="47.08203125" customWidth="1"/>
    <col min="13" max="14" width="11.08203125" customWidth="1"/>
    <col min="15" max="16" width="12.08203125" customWidth="1"/>
    <col min="17" max="24" width="7.58203125" customWidth="1"/>
  </cols>
  <sheetData>
    <row r="1" spans="1:25" ht="14.25" customHeight="1" thickBot="1" x14ac:dyDescent="0.4">
      <c r="A1" s="1"/>
      <c r="B1" s="181" t="s">
        <v>0</v>
      </c>
      <c r="C1" s="181"/>
      <c r="D1" s="181"/>
      <c r="E1" s="181"/>
      <c r="F1" s="181"/>
      <c r="G1" s="181"/>
      <c r="H1" s="181"/>
      <c r="I1" s="181"/>
      <c r="J1" s="181"/>
      <c r="K1" s="181"/>
      <c r="L1" s="4"/>
      <c r="M1" s="5"/>
      <c r="N1" s="5"/>
      <c r="O1" s="6"/>
      <c r="P1" s="7"/>
    </row>
    <row r="2" spans="1:25" ht="14.25" customHeight="1" thickBot="1" x14ac:dyDescent="0.4">
      <c r="A2" s="1"/>
      <c r="B2" s="8" t="s">
        <v>1</v>
      </c>
      <c r="C2" s="8" t="s">
        <v>2</v>
      </c>
      <c r="D2" s="8" t="s">
        <v>3</v>
      </c>
      <c r="E2" s="8" t="s">
        <v>4</v>
      </c>
      <c r="F2" s="9" t="s">
        <v>5</v>
      </c>
      <c r="G2" s="9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0"/>
      <c r="M2" s="11"/>
      <c r="N2" s="5"/>
      <c r="O2" s="6"/>
      <c r="P2" s="7"/>
    </row>
    <row r="3" spans="1:25" ht="14.25" customHeight="1" x14ac:dyDescent="0.35">
      <c r="A3" s="1"/>
      <c r="B3" s="78">
        <v>25304</v>
      </c>
      <c r="C3" s="78" t="s">
        <v>11</v>
      </c>
      <c r="D3" s="78" t="s">
        <v>39</v>
      </c>
      <c r="E3" s="80">
        <v>45831</v>
      </c>
      <c r="F3" s="81">
        <v>38079</v>
      </c>
      <c r="G3" s="81">
        <f>((F3-1730)*1.45)+1730+5750</f>
        <v>60186.049999999996</v>
      </c>
      <c r="H3" s="142" t="s">
        <v>1105</v>
      </c>
      <c r="I3" s="143" t="s">
        <v>14</v>
      </c>
      <c r="J3" s="143">
        <v>3514209</v>
      </c>
      <c r="K3" s="128">
        <v>46053</v>
      </c>
      <c r="L3" s="5" t="s">
        <v>1223</v>
      </c>
      <c r="M3" s="5" t="s">
        <v>1176</v>
      </c>
      <c r="N3" s="5"/>
      <c r="O3" s="6"/>
      <c r="P3" s="6"/>
      <c r="Q3" s="18"/>
      <c r="R3" s="18"/>
      <c r="S3" s="18"/>
      <c r="T3" s="18"/>
      <c r="U3" s="18"/>
      <c r="V3" s="18"/>
      <c r="W3" s="18"/>
      <c r="X3" s="18"/>
      <c r="Y3" s="18"/>
    </row>
    <row r="4" spans="1:25" ht="14.25" customHeight="1" x14ac:dyDescent="0.35">
      <c r="A4" s="1"/>
      <c r="B4" s="3">
        <v>25503</v>
      </c>
      <c r="C4" s="5" t="s">
        <v>11</v>
      </c>
      <c r="D4" s="3" t="s">
        <v>1020</v>
      </c>
      <c r="E4" s="21">
        <v>45873</v>
      </c>
      <c r="F4" s="6">
        <v>35692</v>
      </c>
      <c r="G4" s="6">
        <f>((F4-1730)*1.45)+1730+5750</f>
        <v>56724.9</v>
      </c>
      <c r="H4" s="3"/>
      <c r="I4" s="5"/>
      <c r="J4" s="23"/>
      <c r="K4" s="21"/>
      <c r="L4" s="5"/>
      <c r="M4" s="5" t="s">
        <v>1176</v>
      </c>
      <c r="N4" s="5"/>
      <c r="O4" s="6"/>
      <c r="P4" s="6"/>
      <c r="Q4" s="18"/>
      <c r="R4" s="18"/>
      <c r="S4" s="18"/>
      <c r="T4" s="18"/>
      <c r="U4" s="18"/>
      <c r="V4" s="18"/>
      <c r="W4" s="18"/>
      <c r="X4" s="18"/>
      <c r="Y4" s="18"/>
    </row>
    <row r="5" spans="1:25" ht="14.25" customHeight="1" x14ac:dyDescent="0.35">
      <c r="A5" s="1"/>
      <c r="B5" s="78">
        <v>25536</v>
      </c>
      <c r="C5" s="79" t="s">
        <v>11</v>
      </c>
      <c r="D5" s="78" t="s">
        <v>1019</v>
      </c>
      <c r="E5" s="80">
        <v>45884</v>
      </c>
      <c r="F5" s="81">
        <v>42154</v>
      </c>
      <c r="G5" s="81">
        <f>((F5-1763)*1.45)+1763+5750</f>
        <v>66079.95</v>
      </c>
      <c r="H5" s="164" t="s">
        <v>1185</v>
      </c>
      <c r="I5" s="164" t="s">
        <v>14</v>
      </c>
      <c r="J5" s="164">
        <v>3528884</v>
      </c>
      <c r="K5" s="144" t="s">
        <v>1229</v>
      </c>
      <c r="L5" s="5" t="s">
        <v>1230</v>
      </c>
      <c r="M5" s="5" t="s">
        <v>1176</v>
      </c>
      <c r="N5" s="5"/>
      <c r="O5" s="6"/>
      <c r="P5" s="6"/>
      <c r="Q5" s="18"/>
      <c r="R5" s="18"/>
      <c r="S5" s="18"/>
      <c r="T5" s="18"/>
      <c r="U5" s="18"/>
      <c r="V5" s="18"/>
      <c r="W5" s="18"/>
      <c r="X5" s="18"/>
      <c r="Y5" s="18"/>
    </row>
    <row r="6" spans="1:25" ht="14.25" customHeight="1" x14ac:dyDescent="0.35">
      <c r="A6" s="1"/>
      <c r="B6" s="3">
        <v>5048</v>
      </c>
      <c r="C6" s="5" t="s">
        <v>41</v>
      </c>
      <c r="D6" s="3" t="s">
        <v>42</v>
      </c>
      <c r="E6" s="21">
        <v>45890</v>
      </c>
      <c r="F6" s="6">
        <v>95951.2</v>
      </c>
      <c r="G6" s="6">
        <f>((F6-4000)*1.5)+4000+11250</f>
        <v>153176.79999999999</v>
      </c>
      <c r="H6" s="5"/>
      <c r="I6" s="5"/>
      <c r="J6" s="23"/>
      <c r="K6" s="21"/>
      <c r="L6" s="5"/>
      <c r="M6" s="3"/>
      <c r="N6" s="5"/>
      <c r="O6" s="6"/>
      <c r="P6" s="6"/>
      <c r="Q6" s="18"/>
      <c r="R6" s="18"/>
      <c r="S6" s="18"/>
      <c r="T6" s="18"/>
      <c r="U6" s="18"/>
      <c r="V6" s="18"/>
      <c r="W6" s="18"/>
      <c r="X6" s="18"/>
      <c r="Y6" s="18"/>
    </row>
    <row r="7" spans="1:25" ht="14.25" customHeight="1" x14ac:dyDescent="0.35">
      <c r="A7" s="1"/>
      <c r="B7" s="3">
        <v>25094</v>
      </c>
      <c r="C7" s="5" t="s">
        <v>44</v>
      </c>
      <c r="D7" s="3" t="s">
        <v>45</v>
      </c>
      <c r="E7" s="21">
        <v>45901</v>
      </c>
      <c r="F7" s="6">
        <v>109124</v>
      </c>
      <c r="G7" s="6">
        <f>((F7-3308)*1.45)+3308+11250</f>
        <v>167991.19999999998</v>
      </c>
      <c r="H7" s="5"/>
      <c r="I7" s="5"/>
      <c r="J7" s="23"/>
      <c r="K7" s="21"/>
      <c r="L7" s="5"/>
      <c r="M7" s="5" t="s">
        <v>1176</v>
      </c>
      <c r="N7" s="5"/>
      <c r="O7" s="6"/>
      <c r="P7" s="6"/>
      <c r="Q7" s="18"/>
      <c r="R7" s="18"/>
      <c r="S7" s="18"/>
      <c r="T7" s="18"/>
      <c r="U7" s="18"/>
      <c r="V7" s="18"/>
      <c r="W7" s="18"/>
      <c r="X7" s="18"/>
      <c r="Y7" s="18"/>
    </row>
    <row r="8" spans="1:25" ht="14.15" customHeight="1" x14ac:dyDescent="0.35">
      <c r="A8" s="1"/>
      <c r="B8" s="3">
        <v>28657</v>
      </c>
      <c r="C8" s="3" t="s">
        <v>57</v>
      </c>
      <c r="D8" s="3" t="s">
        <v>62</v>
      </c>
      <c r="E8" s="21">
        <v>45916</v>
      </c>
      <c r="F8" s="6">
        <v>78005</v>
      </c>
      <c r="G8" s="6">
        <f>((F8-4946)*1.45)+4946+11250</f>
        <v>122131.55</v>
      </c>
      <c r="H8" s="5"/>
      <c r="I8" s="5"/>
      <c r="J8" s="23"/>
      <c r="K8" s="21"/>
      <c r="L8" s="5"/>
      <c r="M8" s="5" t="s">
        <v>1176</v>
      </c>
      <c r="N8" s="5"/>
      <c r="O8" s="6"/>
      <c r="P8" s="6"/>
      <c r="Q8" s="18"/>
      <c r="R8" s="18"/>
      <c r="S8" s="18"/>
      <c r="T8" s="18"/>
      <c r="U8" s="18"/>
      <c r="V8" s="18"/>
      <c r="W8" s="18"/>
      <c r="X8" s="18"/>
      <c r="Y8" s="18"/>
    </row>
    <row r="9" spans="1:25" ht="14.25" customHeight="1" x14ac:dyDescent="0.35">
      <c r="A9" s="1"/>
      <c r="B9" s="3">
        <v>25841</v>
      </c>
      <c r="C9" s="5" t="s">
        <v>11</v>
      </c>
      <c r="D9" s="3" t="s">
        <v>1019</v>
      </c>
      <c r="E9" s="21">
        <v>45926</v>
      </c>
      <c r="F9" s="6">
        <v>42780</v>
      </c>
      <c r="G9" s="6">
        <f>((F9-1763)*1.45)+1763+5750</f>
        <v>66987.649999999994</v>
      </c>
      <c r="H9" s="3"/>
      <c r="I9" s="5"/>
      <c r="J9" s="5"/>
      <c r="K9" s="21"/>
      <c r="L9" s="5"/>
      <c r="M9" s="5" t="s">
        <v>1176</v>
      </c>
      <c r="N9" s="5"/>
      <c r="O9" s="6"/>
      <c r="P9" s="6"/>
      <c r="Q9" s="18"/>
      <c r="R9" s="18"/>
      <c r="S9" s="18"/>
      <c r="T9" s="18"/>
      <c r="U9" s="18"/>
      <c r="V9" s="18"/>
      <c r="W9" s="18"/>
      <c r="X9" s="18"/>
      <c r="Y9" s="18"/>
    </row>
    <row r="10" spans="1:25" ht="14.25" customHeight="1" x14ac:dyDescent="0.35">
      <c r="A10" s="1"/>
      <c r="B10" s="3">
        <v>50512</v>
      </c>
      <c r="C10" s="5" t="s">
        <v>65</v>
      </c>
      <c r="D10" s="3" t="s">
        <v>992</v>
      </c>
      <c r="E10" s="21">
        <v>45973</v>
      </c>
      <c r="F10" s="6">
        <v>47349</v>
      </c>
      <c r="G10" s="6">
        <f>((F10-2100)*1.45)+2100+5750</f>
        <v>73461.05</v>
      </c>
      <c r="H10" s="145"/>
      <c r="I10" s="82"/>
      <c r="J10" s="82"/>
      <c r="K10" s="89"/>
      <c r="L10" s="5"/>
      <c r="M10" s="3"/>
      <c r="N10" s="5"/>
      <c r="O10" s="6"/>
      <c r="P10" s="6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14.25" customHeight="1" x14ac:dyDescent="0.35">
      <c r="A11" s="1"/>
      <c r="B11" s="145">
        <v>9942</v>
      </c>
      <c r="C11" s="145" t="s">
        <v>21</v>
      </c>
      <c r="D11" s="3" t="s">
        <v>46</v>
      </c>
      <c r="E11" s="89">
        <v>46021</v>
      </c>
      <c r="F11" s="6">
        <v>59290</v>
      </c>
      <c r="G11" s="6">
        <f>((F11)*1.5)+1816.5+5750</f>
        <v>96501.5</v>
      </c>
      <c r="H11" s="145"/>
      <c r="I11" s="82"/>
      <c r="J11" s="82"/>
      <c r="K11" s="89"/>
      <c r="L11" s="154"/>
      <c r="M11" s="3"/>
      <c r="N11" s="5"/>
      <c r="O11" s="20" t="s">
        <v>591</v>
      </c>
      <c r="P11" s="7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4.25" customHeight="1" x14ac:dyDescent="0.35">
      <c r="A12" s="1"/>
      <c r="B12" s="145">
        <v>9949</v>
      </c>
      <c r="C12" s="145" t="s">
        <v>21</v>
      </c>
      <c r="D12" s="145" t="s">
        <v>1132</v>
      </c>
      <c r="E12" s="89">
        <v>46027</v>
      </c>
      <c r="F12" s="146">
        <v>60623</v>
      </c>
      <c r="G12" s="6">
        <f>((F12)*1.5)+1816.5+5750</f>
        <v>98501</v>
      </c>
      <c r="H12" s="145"/>
      <c r="I12" s="82"/>
      <c r="J12" s="82"/>
      <c r="K12" s="89"/>
      <c r="L12" s="154"/>
      <c r="M12" s="3"/>
      <c r="N12" s="5"/>
      <c r="O12" s="20" t="s">
        <v>591</v>
      </c>
      <c r="P12" s="7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4.25" customHeight="1" x14ac:dyDescent="0.35">
      <c r="A13" s="1"/>
      <c r="B13" s="145">
        <v>15125</v>
      </c>
      <c r="C13" s="161" t="s">
        <v>11</v>
      </c>
      <c r="D13" s="145" t="s">
        <v>1085</v>
      </c>
      <c r="E13" s="89">
        <v>46029</v>
      </c>
      <c r="F13" s="146">
        <v>60652</v>
      </c>
      <c r="G13" s="162">
        <f>((F13-1500)*1.45)+1500+11250</f>
        <v>98520.4</v>
      </c>
      <c r="H13" s="145"/>
      <c r="I13" s="82"/>
      <c r="J13" s="163"/>
      <c r="K13" s="89"/>
      <c r="L13" s="3"/>
      <c r="M13" s="3"/>
      <c r="N13" s="82"/>
      <c r="O13" s="6"/>
      <c r="P13" s="6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4.25" customHeight="1" x14ac:dyDescent="0.35">
      <c r="A14" s="1"/>
      <c r="B14" s="110">
        <v>26320</v>
      </c>
      <c r="C14" s="111" t="s">
        <v>11</v>
      </c>
      <c r="D14" s="110" t="s">
        <v>1088</v>
      </c>
      <c r="E14" s="112">
        <v>46031</v>
      </c>
      <c r="F14" s="114">
        <v>44564</v>
      </c>
      <c r="G14" s="157">
        <f>((F14-750)*1.45)+750+5250</f>
        <v>69530.299999999988</v>
      </c>
      <c r="H14" s="110" t="s">
        <v>1161</v>
      </c>
      <c r="I14" s="111" t="s">
        <v>212</v>
      </c>
      <c r="J14" s="111"/>
      <c r="K14" s="112" t="s">
        <v>1201</v>
      </c>
      <c r="L14" s="5" t="s">
        <v>1212</v>
      </c>
      <c r="M14" s="3"/>
      <c r="N14" s="82"/>
      <c r="O14" s="6"/>
      <c r="P14" s="6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4.25" customHeight="1" x14ac:dyDescent="0.35">
      <c r="A15" s="1"/>
      <c r="B15" s="145">
        <v>2437</v>
      </c>
      <c r="C15" s="5" t="s">
        <v>21</v>
      </c>
      <c r="D15" s="3" t="s">
        <v>1131</v>
      </c>
      <c r="E15" s="89">
        <v>46031</v>
      </c>
      <c r="F15" s="6">
        <v>92497</v>
      </c>
      <c r="G15" s="6">
        <f>((F15)*1.5)+3632.5+11250</f>
        <v>153628</v>
      </c>
      <c r="H15" s="145"/>
      <c r="I15" s="82"/>
      <c r="J15" s="82"/>
      <c r="K15" s="89"/>
      <c r="L15" s="43"/>
      <c r="M15" s="3"/>
      <c r="N15" s="5"/>
      <c r="O15" s="20" t="s">
        <v>1173</v>
      </c>
      <c r="P15" s="7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4.25" customHeight="1" x14ac:dyDescent="0.35">
      <c r="A16" s="1"/>
      <c r="B16" s="145">
        <v>28864</v>
      </c>
      <c r="C16" s="3" t="s">
        <v>57</v>
      </c>
      <c r="D16" s="3" t="s">
        <v>58</v>
      </c>
      <c r="E16" s="21">
        <v>46041</v>
      </c>
      <c r="F16" s="6">
        <v>100395</v>
      </c>
      <c r="G16" s="6">
        <f>((F16-4946)*1.45)+4946+11250</f>
        <v>154597.04999999999</v>
      </c>
      <c r="H16" s="145"/>
      <c r="I16" s="82"/>
      <c r="J16" s="82"/>
      <c r="K16" s="89"/>
      <c r="L16" s="43"/>
      <c r="M16" s="3"/>
      <c r="N16" s="5"/>
      <c r="O16" s="6"/>
      <c r="P16" s="7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4.25" customHeight="1" x14ac:dyDescent="0.35">
      <c r="A17" s="1"/>
      <c r="B17" s="3"/>
      <c r="C17" s="3"/>
      <c r="D17" s="3"/>
      <c r="E17" s="21"/>
      <c r="F17" s="96" t="s">
        <v>59</v>
      </c>
      <c r="G17" s="55" t="s">
        <v>60</v>
      </c>
      <c r="H17" s="96" t="s">
        <v>61</v>
      </c>
      <c r="I17" s="5"/>
      <c r="J17" s="2" t="s">
        <v>122</v>
      </c>
      <c r="K17" s="21"/>
      <c r="L17" s="5"/>
      <c r="M17" s="5"/>
      <c r="N17" s="5"/>
      <c r="O17" s="6"/>
      <c r="P17" s="6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4.25" customHeight="1" x14ac:dyDescent="0.35">
      <c r="A18" s="1"/>
      <c r="B18" s="3"/>
      <c r="C18" s="3"/>
      <c r="D18" s="155"/>
      <c r="E18" s="21"/>
      <c r="F18" s="25">
        <f>SUM(F3:F16)</f>
        <v>907155.2</v>
      </c>
      <c r="G18" s="6">
        <f>SUM(F4,F6:F13,F15:F16)</f>
        <v>782358.2</v>
      </c>
      <c r="H18" s="25">
        <f>F18-G18</f>
        <v>124797</v>
      </c>
      <c r="I18" s="5"/>
      <c r="J18" s="39">
        <f>H18/F18</f>
        <v>0.13756962424952202</v>
      </c>
      <c r="K18" s="21"/>
      <c r="L18" s="5"/>
      <c r="M18" s="5"/>
      <c r="N18" s="5"/>
      <c r="O18" s="6"/>
      <c r="P18" s="6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4.25" customHeight="1" x14ac:dyDescent="0.35">
      <c r="A19" s="1"/>
      <c r="B19" s="3"/>
      <c r="C19" s="3"/>
      <c r="D19" s="3"/>
      <c r="E19" s="21"/>
      <c r="F19" s="25"/>
      <c r="G19" s="6"/>
      <c r="H19" s="25"/>
      <c r="I19" s="5"/>
      <c r="J19" s="23"/>
      <c r="K19" s="21"/>
      <c r="L19" s="5"/>
      <c r="M19" s="5"/>
      <c r="N19" s="5"/>
      <c r="O19" s="6"/>
      <c r="P19" s="6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4.25" customHeight="1" thickBot="1" x14ac:dyDescent="0.4">
      <c r="A20" s="1"/>
      <c r="B20" s="181" t="s">
        <v>980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4"/>
      <c r="N20" s="5"/>
      <c r="O20" s="6"/>
      <c r="P20" s="7"/>
    </row>
    <row r="21" spans="1:25" ht="14.25" customHeight="1" thickBot="1" x14ac:dyDescent="0.4">
      <c r="A21" s="1"/>
      <c r="B21" s="8" t="s">
        <v>1</v>
      </c>
      <c r="C21" s="8" t="s">
        <v>2</v>
      </c>
      <c r="D21" s="8" t="s">
        <v>3</v>
      </c>
      <c r="E21" s="8" t="s">
        <v>4</v>
      </c>
      <c r="F21" s="9" t="s">
        <v>5</v>
      </c>
      <c r="G21" s="9" t="s">
        <v>6</v>
      </c>
      <c r="H21" s="8" t="s">
        <v>7</v>
      </c>
      <c r="I21" s="8" t="s">
        <v>8</v>
      </c>
      <c r="J21" s="8" t="s">
        <v>9</v>
      </c>
      <c r="K21" s="8" t="s">
        <v>10</v>
      </c>
      <c r="L21" s="1"/>
      <c r="N21" s="2"/>
      <c r="O21" s="22"/>
      <c r="P21" s="27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4.25" customHeight="1" x14ac:dyDescent="0.35">
      <c r="A22" s="1"/>
      <c r="B22" s="142">
        <v>15342</v>
      </c>
      <c r="C22" s="133" t="s">
        <v>11</v>
      </c>
      <c r="D22" s="110" t="s">
        <v>1174</v>
      </c>
      <c r="E22" s="148"/>
      <c r="F22" s="114">
        <v>74567</v>
      </c>
      <c r="G22" s="157">
        <f>((F22-1500)*1.45)+1500+11250</f>
        <v>118697.15</v>
      </c>
      <c r="H22" s="142" t="s">
        <v>1026</v>
      </c>
      <c r="I22" s="143" t="s">
        <v>14</v>
      </c>
      <c r="J22" s="143">
        <v>3496538</v>
      </c>
      <c r="K22" s="144">
        <v>46060</v>
      </c>
      <c r="L22" s="43" t="s">
        <v>1200</v>
      </c>
      <c r="M22" s="3"/>
      <c r="N22" s="5"/>
      <c r="O22" s="6"/>
      <c r="P22" s="7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4.25" customHeight="1" x14ac:dyDescent="0.35">
      <c r="A23" s="1" t="s">
        <v>1168</v>
      </c>
      <c r="B23" s="116" t="s">
        <v>1215</v>
      </c>
      <c r="C23" s="159" t="s">
        <v>572</v>
      </c>
      <c r="D23" s="159" t="s">
        <v>1186</v>
      </c>
      <c r="E23" s="159"/>
      <c r="F23" s="85">
        <v>60623</v>
      </c>
      <c r="G23" s="137">
        <f>((F23)*1.5)+1816.5+5750</f>
        <v>98501</v>
      </c>
      <c r="H23" s="159" t="s">
        <v>1184</v>
      </c>
      <c r="I23" s="159" t="s">
        <v>14</v>
      </c>
      <c r="J23" s="159">
        <v>3531054</v>
      </c>
      <c r="K23" s="160">
        <v>46097</v>
      </c>
      <c r="L23" s="3" t="s">
        <v>1210</v>
      </c>
      <c r="M23" s="5"/>
      <c r="N23" s="5"/>
      <c r="O23" s="95" t="s">
        <v>591</v>
      </c>
      <c r="P23" s="7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4.25" customHeight="1" x14ac:dyDescent="0.35">
      <c r="A24" s="1" t="s">
        <v>1168</v>
      </c>
      <c r="B24" s="116" t="s">
        <v>1216</v>
      </c>
      <c r="C24" s="159" t="s">
        <v>11</v>
      </c>
      <c r="D24" s="159" t="s">
        <v>1208</v>
      </c>
      <c r="E24" s="159"/>
      <c r="F24" s="137">
        <v>47349</v>
      </c>
      <c r="G24" s="137">
        <f>((F24-2100)*1.45)+2100+5750</f>
        <v>73461.05</v>
      </c>
      <c r="H24" s="159" t="s">
        <v>1072</v>
      </c>
      <c r="I24" s="159" t="s">
        <v>14</v>
      </c>
      <c r="J24" s="159"/>
      <c r="K24" s="169" t="s">
        <v>300</v>
      </c>
      <c r="L24" s="3" t="s">
        <v>1209</v>
      </c>
      <c r="M24" s="5"/>
      <c r="N24" s="5"/>
      <c r="O24" s="161"/>
      <c r="P24" s="7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4.25" customHeight="1" x14ac:dyDescent="0.35">
      <c r="A25" s="38"/>
      <c r="B25" s="3"/>
      <c r="C25" s="5"/>
      <c r="D25" s="3"/>
      <c r="E25" s="2"/>
      <c r="F25" s="55" t="s">
        <v>59</v>
      </c>
      <c r="G25" s="55" t="s">
        <v>60</v>
      </c>
      <c r="H25" s="1" t="s">
        <v>61</v>
      </c>
      <c r="I25" s="5"/>
      <c r="J25" s="5"/>
      <c r="K25" s="21"/>
      <c r="L25" s="3"/>
      <c r="M25" s="5"/>
      <c r="N25" s="5"/>
      <c r="O25" s="6"/>
      <c r="P25" s="7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4.25" customHeight="1" x14ac:dyDescent="0.35">
      <c r="A26" s="38"/>
      <c r="B26" s="3"/>
      <c r="C26" s="5"/>
      <c r="D26" s="3"/>
      <c r="E26" s="2"/>
      <c r="F26" s="6">
        <f>SUM(F22:F24)</f>
        <v>182539</v>
      </c>
      <c r="G26" s="6">
        <v>0</v>
      </c>
      <c r="H26" s="6">
        <f>F26-G26</f>
        <v>182539</v>
      </c>
      <c r="I26" s="5"/>
      <c r="J26" s="2" t="s">
        <v>122</v>
      </c>
      <c r="K26" s="21"/>
      <c r="L26" s="3"/>
      <c r="M26" s="5"/>
      <c r="N26" s="5"/>
      <c r="O26" s="6"/>
      <c r="P26" s="7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4.25" customHeight="1" x14ac:dyDescent="0.35">
      <c r="A27" s="38"/>
      <c r="B27" s="3"/>
      <c r="C27" s="5"/>
      <c r="D27" s="3"/>
      <c r="E27" s="2"/>
      <c r="F27" s="6">
        <f>F26+F18</f>
        <v>1089694.2</v>
      </c>
      <c r="G27" s="6">
        <f>G26+G18</f>
        <v>782358.2</v>
      </c>
      <c r="H27" s="6">
        <f>H26+H18</f>
        <v>307336</v>
      </c>
      <c r="I27" s="5"/>
      <c r="J27" s="39">
        <f>H27/F27</f>
        <v>0.28203875913077264</v>
      </c>
      <c r="K27" s="24"/>
      <c r="L27" s="3"/>
      <c r="M27" s="5"/>
      <c r="N27" s="5"/>
      <c r="O27" s="6"/>
      <c r="P27" s="7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4.25" customHeight="1" x14ac:dyDescent="0.35">
      <c r="A28" s="1"/>
      <c r="B28" s="3"/>
      <c r="C28" s="3"/>
      <c r="D28" s="3"/>
      <c r="E28" s="21"/>
      <c r="F28" s="25"/>
      <c r="G28" s="6"/>
      <c r="H28" s="25"/>
      <c r="I28" s="5"/>
      <c r="J28" s="23"/>
      <c r="K28" s="89"/>
      <c r="L28" s="5"/>
      <c r="M28" s="5"/>
      <c r="N28" s="5"/>
      <c r="O28" s="6"/>
      <c r="P28" s="6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4.25" customHeight="1" thickBot="1" x14ac:dyDescent="0.4">
      <c r="A29" s="1"/>
      <c r="B29" s="179" t="s">
        <v>1188</v>
      </c>
      <c r="C29" s="180"/>
      <c r="D29" s="180"/>
      <c r="E29" s="180"/>
      <c r="F29" s="180"/>
      <c r="G29" s="180"/>
      <c r="H29" s="180"/>
      <c r="I29" s="180"/>
      <c r="J29" s="180"/>
      <c r="K29" s="180"/>
      <c r="L29" s="5"/>
      <c r="M29" s="5"/>
      <c r="N29" s="5"/>
      <c r="O29" s="6"/>
      <c r="P29" s="6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4.25" customHeight="1" thickBot="1" x14ac:dyDescent="0.4">
      <c r="A30" s="1"/>
      <c r="B30" s="8" t="s">
        <v>1</v>
      </c>
      <c r="C30" s="8" t="s">
        <v>2</v>
      </c>
      <c r="D30" s="8" t="s">
        <v>3</v>
      </c>
      <c r="E30" s="8" t="s">
        <v>977</v>
      </c>
      <c r="F30" s="9" t="s">
        <v>978</v>
      </c>
      <c r="G30" s="9" t="s">
        <v>6</v>
      </c>
      <c r="H30" s="8" t="s">
        <v>7</v>
      </c>
      <c r="I30" s="8" t="s">
        <v>8</v>
      </c>
      <c r="J30" s="8" t="s">
        <v>9</v>
      </c>
      <c r="K30" s="8" t="s">
        <v>10</v>
      </c>
      <c r="L30" s="1"/>
      <c r="M30" s="124" t="s">
        <v>1008</v>
      </c>
      <c r="N30" s="124" t="s">
        <v>1009</v>
      </c>
      <c r="O30" s="125" t="s">
        <v>1010</v>
      </c>
      <c r="P30" s="125" t="s">
        <v>1011</v>
      </c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4.25" customHeight="1" x14ac:dyDescent="0.35">
      <c r="A31" s="1"/>
      <c r="B31" s="78">
        <v>3090</v>
      </c>
      <c r="C31" s="78" t="s">
        <v>1084</v>
      </c>
      <c r="D31" s="78" t="s">
        <v>1203</v>
      </c>
      <c r="E31" s="80" t="s">
        <v>1083</v>
      </c>
      <c r="F31" s="131" t="s">
        <v>1082</v>
      </c>
      <c r="G31" s="81">
        <v>39900</v>
      </c>
      <c r="H31" s="164" t="s">
        <v>1227</v>
      </c>
      <c r="I31" s="164" t="s">
        <v>36</v>
      </c>
      <c r="J31" s="164"/>
      <c r="K31" s="144" t="s">
        <v>300</v>
      </c>
      <c r="L31" s="3" t="s">
        <v>1234</v>
      </c>
      <c r="M31" s="2" t="s">
        <v>1013</v>
      </c>
      <c r="N31" s="2" t="s">
        <v>1013</v>
      </c>
      <c r="O31" s="2" t="s">
        <v>1012</v>
      </c>
      <c r="P31" s="135" t="s">
        <v>1037</v>
      </c>
      <c r="Q31" s="3" t="s">
        <v>1078</v>
      </c>
      <c r="R31" s="18"/>
      <c r="S31" s="18"/>
      <c r="T31" s="18"/>
      <c r="U31" s="18"/>
      <c r="V31" s="18"/>
      <c r="W31" s="18"/>
      <c r="X31" s="18"/>
      <c r="Y31" s="18"/>
    </row>
    <row r="32" spans="1:25" ht="14.25" customHeight="1" x14ac:dyDescent="0.35">
      <c r="A32" s="1"/>
      <c r="B32" s="78">
        <v>7776</v>
      </c>
      <c r="C32" s="79" t="s">
        <v>972</v>
      </c>
      <c r="D32" s="78" t="s">
        <v>1204</v>
      </c>
      <c r="E32" s="80" t="s">
        <v>973</v>
      </c>
      <c r="F32" s="131" t="s">
        <v>999</v>
      </c>
      <c r="G32" s="81">
        <v>45900</v>
      </c>
      <c r="H32" s="79" t="s">
        <v>1231</v>
      </c>
      <c r="I32" s="79" t="s">
        <v>31</v>
      </c>
      <c r="J32" s="140" t="s">
        <v>1232</v>
      </c>
      <c r="K32" s="140" t="s">
        <v>1233</v>
      </c>
      <c r="L32" s="5" t="s">
        <v>1218</v>
      </c>
      <c r="M32" s="2" t="s">
        <v>1013</v>
      </c>
      <c r="N32" s="2" t="s">
        <v>1012</v>
      </c>
      <c r="O32" s="2" t="s">
        <v>1012</v>
      </c>
      <c r="P32" s="135" t="s">
        <v>1039</v>
      </c>
      <c r="Q32" s="3"/>
      <c r="R32" s="18"/>
      <c r="S32" s="18"/>
      <c r="T32" s="18"/>
      <c r="U32" s="18"/>
      <c r="V32" s="18"/>
      <c r="W32" s="18"/>
      <c r="X32" s="18"/>
      <c r="Y32" s="18"/>
    </row>
    <row r="33" spans="1:25" ht="14.25" customHeight="1" x14ac:dyDescent="0.35">
      <c r="A33" s="1"/>
      <c r="B33" s="78">
        <v>1878</v>
      </c>
      <c r="C33" s="79" t="s">
        <v>972</v>
      </c>
      <c r="D33" s="78" t="s">
        <v>1202</v>
      </c>
      <c r="E33" s="80" t="s">
        <v>973</v>
      </c>
      <c r="F33" s="131" t="s">
        <v>998</v>
      </c>
      <c r="G33" s="81">
        <v>49000</v>
      </c>
      <c r="H33" s="79" t="s">
        <v>1147</v>
      </c>
      <c r="I33" s="79" t="s">
        <v>14</v>
      </c>
      <c r="J33" s="140" t="s">
        <v>1148</v>
      </c>
      <c r="K33" s="140"/>
      <c r="L33" s="5" t="s">
        <v>1197</v>
      </c>
      <c r="M33" s="2" t="s">
        <v>1012</v>
      </c>
      <c r="N33" s="2" t="s">
        <v>1013</v>
      </c>
      <c r="O33" s="2" t="s">
        <v>1012</v>
      </c>
      <c r="P33" s="2" t="s">
        <v>1038</v>
      </c>
      <c r="Q33" s="3" t="s">
        <v>1059</v>
      </c>
      <c r="R33" s="18"/>
      <c r="S33" s="18"/>
      <c r="T33" s="18"/>
      <c r="U33" s="18"/>
      <c r="V33" s="18"/>
      <c r="W33" s="18"/>
      <c r="X33" s="18"/>
      <c r="Y33" s="18"/>
    </row>
    <row r="34" spans="1:25" ht="14.25" customHeight="1" x14ac:dyDescent="0.35">
      <c r="A34" s="1"/>
      <c r="B34" s="3">
        <v>28407</v>
      </c>
      <c r="C34" s="3" t="s">
        <v>49</v>
      </c>
      <c r="D34" s="3" t="s">
        <v>1034</v>
      </c>
      <c r="E34" s="23" t="s">
        <v>50</v>
      </c>
      <c r="F34" s="23" t="s">
        <v>51</v>
      </c>
      <c r="G34" s="6">
        <v>29900</v>
      </c>
      <c r="H34" s="5"/>
      <c r="I34" s="5"/>
      <c r="J34" s="3"/>
      <c r="K34" s="21"/>
      <c r="L34" s="3" t="s">
        <v>52</v>
      </c>
      <c r="M34" s="2" t="s">
        <v>1013</v>
      </c>
      <c r="N34" s="2" t="s">
        <v>1013</v>
      </c>
      <c r="O34" s="2" t="s">
        <v>1013</v>
      </c>
      <c r="P34" s="135" t="s">
        <v>1037</v>
      </c>
      <c r="Q34" s="3" t="s">
        <v>1078</v>
      </c>
      <c r="R34" s="18"/>
      <c r="S34" s="18"/>
      <c r="T34" s="18"/>
      <c r="U34" s="18"/>
      <c r="V34" s="18"/>
      <c r="W34" s="18"/>
      <c r="X34" s="18"/>
      <c r="Y34" s="18"/>
    </row>
    <row r="35" spans="1:25" ht="14.25" customHeight="1" x14ac:dyDescent="0.35">
      <c r="A35" s="1"/>
      <c r="B35" s="3">
        <v>2807</v>
      </c>
      <c r="C35" s="5" t="s">
        <v>972</v>
      </c>
      <c r="D35" s="3" t="s">
        <v>1205</v>
      </c>
      <c r="E35" s="21" t="s">
        <v>973</v>
      </c>
      <c r="F35" s="23" t="s">
        <v>1001</v>
      </c>
      <c r="G35" s="6">
        <v>40000</v>
      </c>
      <c r="H35" s="5"/>
      <c r="I35" s="5"/>
      <c r="J35" s="24"/>
      <c r="K35" s="24"/>
      <c r="L35" s="5" t="s">
        <v>975</v>
      </c>
      <c r="M35" s="2" t="s">
        <v>1012</v>
      </c>
      <c r="N35" s="2" t="s">
        <v>1012</v>
      </c>
      <c r="O35" s="2" t="s">
        <v>1014</v>
      </c>
      <c r="P35" s="135" t="s">
        <v>1039</v>
      </c>
      <c r="Q35" s="3"/>
      <c r="R35" s="18"/>
      <c r="S35" s="18"/>
      <c r="T35" s="18"/>
      <c r="U35" s="18"/>
      <c r="V35" s="18"/>
      <c r="W35" s="18"/>
      <c r="X35" s="18"/>
      <c r="Y35" s="18"/>
    </row>
    <row r="36" spans="1:25" ht="14.25" customHeight="1" x14ac:dyDescent="0.35">
      <c r="A36" s="1"/>
      <c r="B36" s="3">
        <v>8662</v>
      </c>
      <c r="C36" s="5" t="s">
        <v>972</v>
      </c>
      <c r="D36" s="3" t="s">
        <v>1206</v>
      </c>
      <c r="E36" s="21" t="s">
        <v>973</v>
      </c>
      <c r="F36" s="23" t="s">
        <v>1002</v>
      </c>
      <c r="G36" s="6">
        <v>20000</v>
      </c>
      <c r="H36" s="5"/>
      <c r="I36" s="5"/>
      <c r="J36" s="24"/>
      <c r="K36" s="24"/>
      <c r="L36" s="5"/>
      <c r="M36" s="2" t="s">
        <v>1012</v>
      </c>
      <c r="N36" s="2" t="s">
        <v>1012</v>
      </c>
      <c r="O36" s="2" t="s">
        <v>1012</v>
      </c>
      <c r="P36" s="135" t="s">
        <v>1022</v>
      </c>
      <c r="Q36" s="3"/>
      <c r="R36" s="18"/>
      <c r="S36" s="18"/>
      <c r="T36" s="18"/>
      <c r="U36" s="18"/>
      <c r="V36" s="18"/>
      <c r="W36" s="18"/>
      <c r="X36" s="18"/>
      <c r="Y36" s="18"/>
    </row>
    <row r="37" spans="1:25" ht="14.25" customHeight="1" x14ac:dyDescent="0.35">
      <c r="A37" s="1"/>
      <c r="B37" s="3">
        <v>1978</v>
      </c>
      <c r="C37" s="5" t="s">
        <v>972</v>
      </c>
      <c r="D37" s="3" t="s">
        <v>1207</v>
      </c>
      <c r="E37" s="21" t="s">
        <v>973</v>
      </c>
      <c r="F37" s="23" t="s">
        <v>1003</v>
      </c>
      <c r="G37" s="6">
        <v>40000</v>
      </c>
      <c r="H37" s="5"/>
      <c r="I37" s="5"/>
      <c r="J37" s="24"/>
      <c r="K37" s="24"/>
      <c r="L37" s="5" t="s">
        <v>976</v>
      </c>
      <c r="M37" s="2" t="s">
        <v>1013</v>
      </c>
      <c r="N37" s="2" t="s">
        <v>1013</v>
      </c>
      <c r="O37" s="2" t="s">
        <v>1012</v>
      </c>
      <c r="P37" s="2" t="s">
        <v>1038</v>
      </c>
      <c r="Q37" s="3" t="s">
        <v>1059</v>
      </c>
      <c r="R37" s="18"/>
      <c r="S37" s="18"/>
      <c r="T37" s="18"/>
      <c r="U37" s="18"/>
      <c r="V37" s="18"/>
      <c r="W37" s="18"/>
      <c r="X37" s="18"/>
      <c r="Y37" s="18"/>
    </row>
    <row r="38" spans="1:25" ht="14.25" customHeight="1" x14ac:dyDescent="0.35">
      <c r="A38" s="1"/>
      <c r="B38" s="3"/>
      <c r="C38" s="3"/>
      <c r="D38" s="3"/>
      <c r="E38" s="21"/>
      <c r="F38" s="25"/>
      <c r="G38" s="6"/>
      <c r="H38" s="25"/>
      <c r="I38" s="5"/>
      <c r="J38" s="23"/>
      <c r="K38" s="89"/>
      <c r="L38" s="5"/>
      <c r="M38" s="5"/>
      <c r="N38" s="5"/>
      <c r="O38" s="6"/>
      <c r="P38" s="6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4.25" customHeight="1" thickBot="1" x14ac:dyDescent="0.4">
      <c r="A39" s="1"/>
      <c r="B39" s="179" t="s">
        <v>1189</v>
      </c>
      <c r="C39" s="180"/>
      <c r="D39" s="180"/>
      <c r="E39" s="180"/>
      <c r="F39" s="180"/>
      <c r="G39" s="180"/>
      <c r="H39" s="180"/>
      <c r="I39" s="180"/>
      <c r="J39" s="180"/>
      <c r="K39" s="180"/>
      <c r="L39" s="5"/>
      <c r="M39" s="5"/>
      <c r="N39" s="5"/>
      <c r="O39" s="6"/>
      <c r="P39" s="6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4.25" customHeight="1" thickBot="1" x14ac:dyDescent="0.4">
      <c r="A40" s="1"/>
      <c r="B40" s="8" t="s">
        <v>1</v>
      </c>
      <c r="C40" s="8" t="s">
        <v>2</v>
      </c>
      <c r="D40" s="8" t="s">
        <v>3</v>
      </c>
      <c r="E40" s="8" t="s">
        <v>1213</v>
      </c>
      <c r="F40" s="9" t="s">
        <v>978</v>
      </c>
      <c r="G40" s="9" t="s">
        <v>1221</v>
      </c>
      <c r="H40" s="8" t="s">
        <v>7</v>
      </c>
      <c r="I40" s="8" t="s">
        <v>8</v>
      </c>
      <c r="J40" s="8" t="s">
        <v>9</v>
      </c>
      <c r="K40" s="8" t="s">
        <v>10</v>
      </c>
      <c r="L40" s="1"/>
      <c r="M40" s="166"/>
      <c r="N40" s="166"/>
      <c r="O40" s="167"/>
      <c r="P40" s="167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4.25" customHeight="1" x14ac:dyDescent="0.35">
      <c r="A41" s="1"/>
      <c r="B41" s="3">
        <v>4870</v>
      </c>
      <c r="C41" s="5" t="s">
        <v>41</v>
      </c>
      <c r="D41" s="3" t="s">
        <v>1222</v>
      </c>
      <c r="E41" s="23">
        <v>685107</v>
      </c>
      <c r="F41" s="6" t="s">
        <v>1211</v>
      </c>
      <c r="G41" s="6"/>
      <c r="H41" s="3"/>
      <c r="I41" s="5"/>
      <c r="J41" s="5"/>
      <c r="K41" s="170"/>
      <c r="L41" s="5" t="s">
        <v>1219</v>
      </c>
      <c r="M41" s="166"/>
      <c r="N41" s="166"/>
      <c r="O41" s="167"/>
      <c r="P41" s="167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4.25" customHeight="1" x14ac:dyDescent="0.35">
      <c r="A42" s="1"/>
      <c r="B42" s="3">
        <v>4973</v>
      </c>
      <c r="C42" s="5" t="s">
        <v>972</v>
      </c>
      <c r="D42" s="3" t="s">
        <v>1220</v>
      </c>
      <c r="E42" s="23">
        <v>466629</v>
      </c>
      <c r="F42" s="23"/>
      <c r="G42" s="6">
        <v>63900</v>
      </c>
      <c r="H42" s="5"/>
      <c r="I42" s="5"/>
      <c r="J42" s="24"/>
      <c r="K42" s="24"/>
      <c r="L42" s="5" t="s">
        <v>1214</v>
      </c>
      <c r="M42" s="168"/>
      <c r="N42" s="168"/>
      <c r="O42" s="168"/>
      <c r="P42" s="168"/>
      <c r="Q42" s="3"/>
      <c r="R42" s="18"/>
      <c r="S42" s="18"/>
      <c r="T42" s="18"/>
      <c r="U42" s="18"/>
      <c r="V42" s="18"/>
      <c r="W42" s="18"/>
      <c r="X42" s="18"/>
      <c r="Y42" s="18"/>
    </row>
    <row r="43" spans="1:25" ht="14.25" customHeight="1" x14ac:dyDescent="0.35">
      <c r="A43" s="1"/>
      <c r="B43" s="3"/>
      <c r="C43" s="5"/>
      <c r="D43" s="3"/>
      <c r="E43" s="23"/>
      <c r="F43" s="23"/>
      <c r="G43" s="6"/>
      <c r="H43" s="5"/>
      <c r="I43" s="5"/>
      <c r="J43" s="24"/>
      <c r="K43" s="24"/>
      <c r="L43" s="5"/>
      <c r="M43" s="2"/>
      <c r="N43" s="2"/>
      <c r="O43" s="2"/>
      <c r="P43" s="2"/>
      <c r="Q43" s="3"/>
      <c r="R43" s="18"/>
      <c r="S43" s="18"/>
      <c r="T43" s="18"/>
      <c r="U43" s="18"/>
      <c r="V43" s="18"/>
      <c r="W43" s="18"/>
      <c r="X43" s="18"/>
      <c r="Y43" s="18"/>
    </row>
    <row r="44" spans="1:25" ht="14.25" customHeight="1" thickBot="1" x14ac:dyDescent="0.4">
      <c r="A44" s="1"/>
      <c r="B44" s="3"/>
      <c r="C44" s="5"/>
      <c r="D44" s="3"/>
      <c r="E44" s="23"/>
      <c r="I44" s="5"/>
      <c r="J44" s="24"/>
      <c r="K44" s="24"/>
      <c r="L44" s="26"/>
      <c r="N44" s="5"/>
      <c r="O44" s="6"/>
      <c r="P44" s="7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4.25" customHeight="1" thickBot="1" x14ac:dyDescent="0.4">
      <c r="A45" s="1"/>
      <c r="B45" s="173" t="s">
        <v>979</v>
      </c>
      <c r="C45" s="174"/>
      <c r="D45" s="174"/>
      <c r="E45" s="174"/>
      <c r="F45" s="174"/>
      <c r="G45" s="174"/>
      <c r="H45" s="174"/>
      <c r="I45" s="174"/>
      <c r="J45" s="174"/>
      <c r="K45" s="175"/>
      <c r="L45" s="3"/>
      <c r="M45" s="5"/>
      <c r="N45" s="5"/>
      <c r="O45" s="6"/>
      <c r="P45" s="7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4.25" customHeight="1" x14ac:dyDescent="0.35">
      <c r="A46" s="1"/>
      <c r="B46" s="158"/>
      <c r="C46" s="159" t="s">
        <v>1183</v>
      </c>
      <c r="D46" s="159"/>
      <c r="E46" s="159"/>
      <c r="F46" s="159"/>
      <c r="G46" s="159"/>
      <c r="H46" s="159" t="s">
        <v>1182</v>
      </c>
      <c r="I46" s="159" t="s">
        <v>14</v>
      </c>
      <c r="J46" s="159">
        <v>3532828</v>
      </c>
      <c r="K46" s="160">
        <v>46102</v>
      </c>
      <c r="L46" s="3"/>
      <c r="M46" s="5"/>
      <c r="N46" s="5"/>
      <c r="O46" s="6"/>
      <c r="P46" s="7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4.25" customHeight="1" x14ac:dyDescent="0.35">
      <c r="A47" s="1"/>
      <c r="B47" s="116"/>
      <c r="C47" s="117" t="s">
        <v>1056</v>
      </c>
      <c r="D47" s="116"/>
      <c r="E47" s="118"/>
      <c r="F47" s="99"/>
      <c r="G47" s="99"/>
      <c r="H47" s="116" t="s">
        <v>1228</v>
      </c>
      <c r="I47" s="117" t="s">
        <v>14</v>
      </c>
      <c r="J47" s="117">
        <v>3505040</v>
      </c>
      <c r="K47" s="141" t="s">
        <v>77</v>
      </c>
      <c r="L47" s="43"/>
      <c r="M47" s="5"/>
      <c r="N47" s="5"/>
      <c r="O47" s="6"/>
      <c r="P47" s="7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4.25" customHeight="1" x14ac:dyDescent="0.35">
      <c r="A48" s="1"/>
      <c r="B48" s="158"/>
      <c r="C48" s="159" t="s">
        <v>1226</v>
      </c>
      <c r="D48" s="159"/>
      <c r="E48" s="159"/>
      <c r="F48" s="159"/>
      <c r="G48" s="159"/>
      <c r="H48" s="159" t="s">
        <v>1224</v>
      </c>
      <c r="I48" s="159" t="s">
        <v>14</v>
      </c>
      <c r="J48" s="159">
        <v>3539691</v>
      </c>
      <c r="K48" s="141" t="s">
        <v>77</v>
      </c>
      <c r="L48" s="3" t="s">
        <v>1225</v>
      </c>
      <c r="M48" s="5"/>
      <c r="N48" s="5"/>
      <c r="O48" s="6"/>
      <c r="P48" s="7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4.25" customHeight="1" x14ac:dyDescent="0.35">
      <c r="A49" s="1"/>
      <c r="B49" s="158"/>
      <c r="C49" s="159" t="s">
        <v>1217</v>
      </c>
      <c r="D49" s="159"/>
      <c r="E49" s="159"/>
      <c r="F49" s="159"/>
      <c r="G49" s="159"/>
      <c r="H49" s="159" t="s">
        <v>1198</v>
      </c>
      <c r="I49" s="159" t="s">
        <v>14</v>
      </c>
      <c r="J49" s="159">
        <v>3538339</v>
      </c>
      <c r="K49" s="128">
        <v>46115</v>
      </c>
      <c r="L49" s="3" t="s">
        <v>1193</v>
      </c>
      <c r="M49" s="5"/>
      <c r="N49" s="5"/>
      <c r="O49" s="6"/>
      <c r="P49" s="7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4.25" customHeight="1" x14ac:dyDescent="0.35">
      <c r="A50" s="1"/>
      <c r="B50" s="158"/>
      <c r="C50" s="159" t="s">
        <v>1196</v>
      </c>
      <c r="D50" s="159"/>
      <c r="E50" s="159"/>
      <c r="F50" s="159"/>
      <c r="G50" s="159"/>
      <c r="H50" s="159" t="s">
        <v>1194</v>
      </c>
      <c r="I50" s="159" t="s">
        <v>1152</v>
      </c>
      <c r="J50" s="159">
        <v>3537086</v>
      </c>
      <c r="K50" s="128">
        <v>46115</v>
      </c>
      <c r="L50" s="3" t="s">
        <v>1199</v>
      </c>
      <c r="M50" s="5"/>
      <c r="N50" s="5"/>
      <c r="O50" s="6"/>
      <c r="P50" s="7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4.25" customHeight="1" x14ac:dyDescent="0.35">
      <c r="A51" s="1"/>
      <c r="B51" s="116"/>
      <c r="C51" s="117" t="s">
        <v>1192</v>
      </c>
      <c r="D51" s="116"/>
      <c r="E51" s="118"/>
      <c r="F51" s="99"/>
      <c r="G51" s="99"/>
      <c r="H51" s="116" t="s">
        <v>1102</v>
      </c>
      <c r="I51" s="117" t="s">
        <v>14</v>
      </c>
      <c r="J51" s="117">
        <v>3514134</v>
      </c>
      <c r="K51" s="128">
        <v>46052</v>
      </c>
      <c r="L51" s="43" t="s">
        <v>1117</v>
      </c>
      <c r="M51" s="5"/>
      <c r="N51" s="5"/>
      <c r="O51" s="6"/>
      <c r="P51" s="7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4.25" customHeight="1" x14ac:dyDescent="0.35">
      <c r="A52" s="1"/>
      <c r="B52" s="158"/>
      <c r="C52" s="159" t="s">
        <v>1175</v>
      </c>
      <c r="D52" s="159"/>
      <c r="E52" s="159"/>
      <c r="F52" s="159"/>
      <c r="G52" s="159"/>
      <c r="H52" s="159"/>
      <c r="I52" s="159" t="s">
        <v>1152</v>
      </c>
      <c r="J52" s="159"/>
      <c r="K52" s="160"/>
      <c r="L52" s="3"/>
      <c r="M52" s="5"/>
      <c r="N52" s="5"/>
      <c r="O52" s="6"/>
      <c r="P52" s="7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4.25" customHeight="1" x14ac:dyDescent="0.35">
      <c r="A53" s="1"/>
      <c r="B53" s="158"/>
      <c r="C53" s="159" t="s">
        <v>1190</v>
      </c>
      <c r="D53" s="159"/>
      <c r="E53" s="159"/>
      <c r="F53" s="159"/>
      <c r="G53" s="159"/>
      <c r="H53" s="83" t="s">
        <v>1160</v>
      </c>
      <c r="I53" s="86" t="s">
        <v>36</v>
      </c>
      <c r="J53" s="159">
        <v>3528702</v>
      </c>
      <c r="K53" s="141" t="s">
        <v>77</v>
      </c>
      <c r="L53" s="3" t="s">
        <v>1171</v>
      </c>
      <c r="M53" s="5"/>
      <c r="N53" s="5"/>
      <c r="O53" s="6"/>
      <c r="P53" s="7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4.25" customHeight="1" x14ac:dyDescent="0.35">
      <c r="A54" s="1"/>
      <c r="B54" s="158"/>
      <c r="C54" s="159" t="s">
        <v>1177</v>
      </c>
      <c r="D54" s="159"/>
      <c r="E54" s="159"/>
      <c r="F54" s="159"/>
      <c r="G54" s="159"/>
      <c r="H54" s="83" t="s">
        <v>1179</v>
      </c>
      <c r="I54" s="86" t="s">
        <v>36</v>
      </c>
      <c r="J54" s="159"/>
      <c r="K54" s="128"/>
      <c r="L54" s="3" t="s">
        <v>1180</v>
      </c>
      <c r="M54" s="5"/>
      <c r="N54" s="5"/>
      <c r="O54" s="6"/>
      <c r="P54" s="7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4.25" customHeight="1" x14ac:dyDescent="0.35">
      <c r="A55" s="1"/>
      <c r="B55" s="116"/>
      <c r="C55" s="117" t="s">
        <v>1154</v>
      </c>
      <c r="D55" s="116"/>
      <c r="E55" s="118"/>
      <c r="F55" s="85"/>
      <c r="G55" s="85"/>
      <c r="H55" s="116" t="s">
        <v>1155</v>
      </c>
      <c r="I55" s="117" t="s">
        <v>14</v>
      </c>
      <c r="J55" s="117">
        <v>3524312</v>
      </c>
      <c r="K55" s="128">
        <v>46082</v>
      </c>
      <c r="L55" s="43" t="s">
        <v>1156</v>
      </c>
      <c r="M55" s="3"/>
      <c r="N55" s="5"/>
      <c r="O55" s="6"/>
      <c r="P55" s="7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4.25" customHeight="1" x14ac:dyDescent="0.35">
      <c r="A56" s="1"/>
      <c r="B56" s="158"/>
      <c r="C56" s="159" t="s">
        <v>1165</v>
      </c>
      <c r="D56" s="159"/>
      <c r="E56" s="159"/>
      <c r="F56" s="159"/>
      <c r="G56" s="159"/>
      <c r="H56" s="159" t="s">
        <v>1164</v>
      </c>
      <c r="I56" s="159"/>
      <c r="J56" s="159">
        <v>3528184</v>
      </c>
      <c r="K56" s="160">
        <v>46091</v>
      </c>
      <c r="L56" s="3"/>
      <c r="M56" s="5"/>
      <c r="N56" s="5"/>
      <c r="O56" s="6"/>
      <c r="P56" s="7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4.25" customHeight="1" x14ac:dyDescent="0.35">
      <c r="A57" s="1"/>
      <c r="B57" s="158"/>
      <c r="C57" s="159" t="s">
        <v>1166</v>
      </c>
      <c r="D57" s="159"/>
      <c r="E57" s="159"/>
      <c r="F57" s="159"/>
      <c r="G57" s="159"/>
      <c r="H57" s="159" t="s">
        <v>1163</v>
      </c>
      <c r="I57" s="159"/>
      <c r="J57" s="159">
        <v>3527188</v>
      </c>
      <c r="K57" s="141" t="s">
        <v>77</v>
      </c>
      <c r="L57" s="3"/>
      <c r="M57" s="5"/>
      <c r="N57" s="5"/>
      <c r="O57" s="6"/>
      <c r="P57" s="7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4.25" customHeight="1" x14ac:dyDescent="0.35">
      <c r="A58" s="1"/>
      <c r="B58" s="158"/>
      <c r="C58" s="159" t="s">
        <v>1167</v>
      </c>
      <c r="D58" s="159"/>
      <c r="E58" s="159"/>
      <c r="F58" s="159"/>
      <c r="G58" s="159"/>
      <c r="H58" s="159" t="s">
        <v>1162</v>
      </c>
      <c r="I58" s="159"/>
      <c r="J58" s="159">
        <v>3526856</v>
      </c>
      <c r="K58" s="141" t="s">
        <v>77</v>
      </c>
      <c r="L58" s="3"/>
      <c r="M58" s="5"/>
      <c r="N58" s="5"/>
      <c r="O58" s="6"/>
      <c r="P58" s="7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4.25" customHeight="1" x14ac:dyDescent="0.35">
      <c r="A59" s="1"/>
      <c r="B59" s="116"/>
      <c r="C59" s="117" t="s">
        <v>1191</v>
      </c>
      <c r="D59" s="116"/>
      <c r="E59" s="118"/>
      <c r="F59" s="85"/>
      <c r="G59" s="85"/>
      <c r="H59" s="116" t="s">
        <v>1141</v>
      </c>
      <c r="I59" s="117" t="s">
        <v>14</v>
      </c>
      <c r="J59" s="117">
        <v>3521518</v>
      </c>
      <c r="K59" s="128">
        <v>46070</v>
      </c>
      <c r="L59" s="43" t="s">
        <v>1157</v>
      </c>
      <c r="M59" s="3"/>
      <c r="N59" s="5"/>
      <c r="O59" s="6"/>
      <c r="P59" s="7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4.25" customHeight="1" x14ac:dyDescent="0.35">
      <c r="A60" s="1"/>
      <c r="B60" s="116"/>
      <c r="C60" s="117" t="s">
        <v>1159</v>
      </c>
      <c r="D60" s="116"/>
      <c r="E60" s="118"/>
      <c r="F60" s="85"/>
      <c r="G60" s="85"/>
      <c r="H60" s="116" t="s">
        <v>1151</v>
      </c>
      <c r="I60" s="117" t="s">
        <v>1152</v>
      </c>
      <c r="J60" s="117">
        <v>3525704</v>
      </c>
      <c r="K60" s="141" t="s">
        <v>77</v>
      </c>
      <c r="L60" s="43" t="s">
        <v>166</v>
      </c>
      <c r="M60" s="3"/>
      <c r="N60" s="5"/>
      <c r="O60" s="6"/>
      <c r="P60" s="7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4.25" customHeight="1" x14ac:dyDescent="0.35">
      <c r="A61" s="1"/>
      <c r="B61" s="116"/>
      <c r="C61" s="117" t="s">
        <v>1144</v>
      </c>
      <c r="D61" s="116"/>
      <c r="E61" s="118"/>
      <c r="F61" s="85"/>
      <c r="G61" s="85"/>
      <c r="H61" s="116" t="s">
        <v>1142</v>
      </c>
      <c r="I61" s="117" t="s">
        <v>14</v>
      </c>
      <c r="J61" s="117">
        <v>3521491</v>
      </c>
      <c r="K61" s="141" t="s">
        <v>77</v>
      </c>
      <c r="L61" s="43" t="s">
        <v>1143</v>
      </c>
      <c r="M61" s="3"/>
      <c r="N61" s="5"/>
      <c r="O61" s="6"/>
      <c r="P61" s="7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4.25" customHeight="1" x14ac:dyDescent="0.35">
      <c r="A62" s="1"/>
      <c r="B62" s="116"/>
      <c r="C62" s="117" t="s">
        <v>1125</v>
      </c>
      <c r="D62" s="116"/>
      <c r="E62" s="118"/>
      <c r="F62" s="99"/>
      <c r="G62" s="99"/>
      <c r="H62" s="116" t="s">
        <v>1111</v>
      </c>
      <c r="I62" s="117" t="s">
        <v>36</v>
      </c>
      <c r="J62" s="117">
        <v>3516467</v>
      </c>
      <c r="K62" s="128">
        <v>46055</v>
      </c>
      <c r="L62" s="43"/>
      <c r="M62" s="5"/>
      <c r="N62" s="5"/>
      <c r="O62" s="6"/>
      <c r="P62" s="7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4.25" customHeight="1" x14ac:dyDescent="0.35">
      <c r="A63" s="1"/>
      <c r="B63" s="116"/>
      <c r="C63" s="117" t="s">
        <v>1138</v>
      </c>
      <c r="D63" s="116"/>
      <c r="E63" s="99" t="s">
        <v>1149</v>
      </c>
      <c r="F63" s="99"/>
      <c r="G63" s="156"/>
      <c r="H63" s="98" t="s">
        <v>1077</v>
      </c>
      <c r="I63" s="149" t="s">
        <v>14</v>
      </c>
      <c r="J63" s="151" t="s">
        <v>1158</v>
      </c>
      <c r="K63" s="150" t="s">
        <v>1087</v>
      </c>
      <c r="L63" s="5" t="s">
        <v>1114</v>
      </c>
      <c r="M63" s="5"/>
      <c r="N63" s="5"/>
      <c r="O63" s="6"/>
      <c r="P63" s="7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4.25" customHeight="1" x14ac:dyDescent="0.35">
      <c r="A64" s="1"/>
      <c r="B64" s="116"/>
      <c r="C64" s="117" t="s">
        <v>1126</v>
      </c>
      <c r="D64" s="116"/>
      <c r="E64" s="118"/>
      <c r="F64" s="99"/>
      <c r="G64" s="99"/>
      <c r="H64" s="116" t="s">
        <v>1123</v>
      </c>
      <c r="I64" s="117" t="s">
        <v>14</v>
      </c>
      <c r="J64" s="117">
        <v>3518243</v>
      </c>
      <c r="K64" s="141" t="s">
        <v>77</v>
      </c>
      <c r="L64" s="43" t="s">
        <v>1127</v>
      </c>
      <c r="M64" s="5"/>
      <c r="N64" s="5"/>
      <c r="O64" s="6"/>
      <c r="P64" s="7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4.25" customHeight="1" x14ac:dyDescent="0.35">
      <c r="A65" s="1"/>
      <c r="B65" s="116"/>
      <c r="C65" s="117" t="s">
        <v>1113</v>
      </c>
      <c r="D65" s="116"/>
      <c r="E65" s="118"/>
      <c r="F65" s="99"/>
      <c r="G65" s="99"/>
      <c r="H65" s="98" t="s">
        <v>1024</v>
      </c>
      <c r="I65" s="149" t="s">
        <v>31</v>
      </c>
      <c r="J65" s="149">
        <v>3495576</v>
      </c>
      <c r="K65" s="93">
        <v>46003</v>
      </c>
      <c r="L65" s="5" t="s">
        <v>1112</v>
      </c>
      <c r="M65" s="5"/>
      <c r="N65" s="5"/>
      <c r="O65" s="6"/>
      <c r="P65" s="7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4.25" customHeight="1" x14ac:dyDescent="0.35">
      <c r="A66" s="1"/>
      <c r="B66" s="116"/>
      <c r="C66" s="117" t="s">
        <v>1122</v>
      </c>
      <c r="D66" s="116"/>
      <c r="E66" s="118"/>
      <c r="F66" s="99"/>
      <c r="G66" s="99"/>
      <c r="H66" s="116" t="s">
        <v>1081</v>
      </c>
      <c r="I66" s="117"/>
      <c r="J66" s="117">
        <v>3507998</v>
      </c>
      <c r="K66" s="141">
        <v>46035</v>
      </c>
      <c r="L66" s="43" t="s">
        <v>1120</v>
      </c>
      <c r="M66" s="5"/>
      <c r="N66" s="5"/>
      <c r="O66" s="6"/>
      <c r="P66" s="7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4.25" customHeight="1" x14ac:dyDescent="0.35">
      <c r="A67" s="1"/>
      <c r="B67" s="116"/>
      <c r="C67" s="117" t="s">
        <v>1073</v>
      </c>
      <c r="D67" s="116"/>
      <c r="E67" s="118"/>
      <c r="F67" s="99"/>
      <c r="G67" s="99"/>
      <c r="H67" s="116" t="s">
        <v>1072</v>
      </c>
      <c r="I67" s="117" t="s">
        <v>14</v>
      </c>
      <c r="J67" s="117">
        <v>3507562</v>
      </c>
      <c r="K67" s="141" t="s">
        <v>77</v>
      </c>
      <c r="L67" s="43" t="s">
        <v>1090</v>
      </c>
      <c r="M67" s="5"/>
      <c r="N67" s="5"/>
      <c r="O67" s="6"/>
      <c r="P67" s="7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4.25" customHeight="1" x14ac:dyDescent="0.35">
      <c r="A68" s="1"/>
      <c r="B68" s="116"/>
      <c r="C68" s="117" t="s">
        <v>1067</v>
      </c>
      <c r="D68" s="116"/>
      <c r="E68" s="118"/>
      <c r="F68" s="99"/>
      <c r="G68" s="99"/>
      <c r="H68" s="116" t="s">
        <v>1063</v>
      </c>
      <c r="I68" s="117" t="s">
        <v>14</v>
      </c>
      <c r="J68" s="117">
        <v>3506107</v>
      </c>
      <c r="K68" s="141" t="s">
        <v>77</v>
      </c>
      <c r="L68" s="43" t="s">
        <v>78</v>
      </c>
      <c r="M68" s="5"/>
      <c r="N68" s="5"/>
      <c r="O68" s="6"/>
      <c r="P68" s="7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4.25" customHeight="1" x14ac:dyDescent="0.35">
      <c r="A69" s="1"/>
      <c r="B69" s="116"/>
      <c r="C69" s="117" t="s">
        <v>1064</v>
      </c>
      <c r="D69" s="116"/>
      <c r="E69" s="118"/>
      <c r="F69" s="99"/>
      <c r="G69" s="99"/>
      <c r="H69" s="116" t="s">
        <v>1062</v>
      </c>
      <c r="I69" s="117" t="s">
        <v>36</v>
      </c>
      <c r="J69" s="117">
        <v>3506034</v>
      </c>
      <c r="K69" s="141">
        <v>46031</v>
      </c>
      <c r="L69" s="43"/>
      <c r="M69" s="5"/>
      <c r="N69" s="5"/>
      <c r="O69" s="6"/>
      <c r="P69" s="7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4.25" customHeight="1" x14ac:dyDescent="0.35">
      <c r="A70" s="1"/>
      <c r="B70" s="116"/>
      <c r="C70" s="117" t="s">
        <v>1032</v>
      </c>
      <c r="D70" s="116"/>
      <c r="E70" s="118"/>
      <c r="F70" s="99"/>
      <c r="G70" s="99"/>
      <c r="H70" s="116" t="s">
        <v>1030</v>
      </c>
      <c r="I70" s="117" t="s">
        <v>14</v>
      </c>
      <c r="J70" s="117">
        <v>3498189</v>
      </c>
      <c r="K70" s="127" t="s">
        <v>77</v>
      </c>
      <c r="L70" s="43" t="s">
        <v>1031</v>
      </c>
      <c r="M70" s="5"/>
      <c r="N70" s="5"/>
      <c r="O70" s="6"/>
      <c r="P70" s="7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4.25" customHeight="1" x14ac:dyDescent="0.35">
      <c r="A71" s="1"/>
      <c r="B71" s="116"/>
      <c r="C71" s="117" t="s">
        <v>995</v>
      </c>
      <c r="D71" s="116"/>
      <c r="E71" s="118"/>
      <c r="F71" s="119"/>
      <c r="G71" s="119"/>
      <c r="H71" s="116" t="s">
        <v>996</v>
      </c>
      <c r="I71" s="117"/>
      <c r="J71" s="117"/>
      <c r="K71" s="118"/>
      <c r="L71" s="3" t="s">
        <v>994</v>
      </c>
      <c r="M71" s="5"/>
      <c r="N71" s="5"/>
      <c r="O71" s="6"/>
      <c r="P71" s="6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4.25" customHeight="1" x14ac:dyDescent="0.35">
      <c r="A72" s="1"/>
      <c r="B72" s="83"/>
      <c r="C72" s="83" t="s">
        <v>984</v>
      </c>
      <c r="D72" s="83"/>
      <c r="E72" s="84"/>
      <c r="F72" s="85"/>
      <c r="G72" s="85"/>
      <c r="H72" s="83" t="s">
        <v>960</v>
      </c>
      <c r="I72" s="86"/>
      <c r="J72" s="86">
        <v>3484417</v>
      </c>
      <c r="K72" s="34" t="s">
        <v>77</v>
      </c>
      <c r="L72" s="5" t="s">
        <v>962</v>
      </c>
      <c r="M72" s="5"/>
      <c r="N72" s="82"/>
      <c r="O72" s="6"/>
      <c r="P72" s="6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4.25" customHeight="1" x14ac:dyDescent="0.35">
      <c r="A73" s="1"/>
      <c r="B73" s="29"/>
      <c r="C73" s="30" t="s">
        <v>986</v>
      </c>
      <c r="D73" s="29"/>
      <c r="E73" s="33"/>
      <c r="F73" s="32"/>
      <c r="G73" s="32"/>
      <c r="H73" s="29" t="s">
        <v>69</v>
      </c>
      <c r="I73" s="30" t="s">
        <v>14</v>
      </c>
      <c r="J73" s="30">
        <v>3303460</v>
      </c>
      <c r="K73" s="34">
        <v>45579</v>
      </c>
      <c r="L73" s="3" t="s">
        <v>70</v>
      </c>
      <c r="M73" s="5"/>
      <c r="N73" s="5"/>
      <c r="O73" s="6"/>
      <c r="P73" s="7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4.25" customHeight="1" x14ac:dyDescent="0.35">
      <c r="A74" s="1"/>
      <c r="B74" s="29"/>
      <c r="C74" s="30" t="s">
        <v>75</v>
      </c>
      <c r="D74" s="29"/>
      <c r="E74" s="31"/>
      <c r="F74" s="32"/>
      <c r="G74" s="32"/>
      <c r="H74" s="29" t="s">
        <v>76</v>
      </c>
      <c r="I74" s="30" t="s">
        <v>14</v>
      </c>
      <c r="J74" s="30">
        <v>3475413</v>
      </c>
      <c r="K74" s="34" t="s">
        <v>77</v>
      </c>
      <c r="L74" s="5" t="s">
        <v>78</v>
      </c>
      <c r="M74" s="5"/>
      <c r="N74" s="5"/>
      <c r="O74" s="6"/>
      <c r="P74" s="6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4.25" customHeight="1" x14ac:dyDescent="0.35">
      <c r="A75" s="1"/>
      <c r="B75" s="29"/>
      <c r="C75" s="29" t="s">
        <v>93</v>
      </c>
      <c r="D75" s="29"/>
      <c r="E75" s="35"/>
      <c r="F75" s="32"/>
      <c r="G75" s="32"/>
      <c r="H75" s="30" t="s">
        <v>94</v>
      </c>
      <c r="I75" s="30" t="s">
        <v>14</v>
      </c>
      <c r="J75" s="35">
        <v>3420626</v>
      </c>
      <c r="K75" s="34" t="s">
        <v>95</v>
      </c>
      <c r="L75" s="3" t="s">
        <v>96</v>
      </c>
      <c r="M75" s="5"/>
      <c r="N75" s="5"/>
      <c r="O75" s="6"/>
      <c r="P75" s="6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4.25" customHeight="1" x14ac:dyDescent="0.35">
      <c r="A76" s="1"/>
      <c r="B76" s="29"/>
      <c r="C76" s="29" t="s">
        <v>97</v>
      </c>
      <c r="D76" s="29"/>
      <c r="E76" s="35"/>
      <c r="F76" s="32"/>
      <c r="G76" s="32"/>
      <c r="H76" s="30" t="s">
        <v>98</v>
      </c>
      <c r="I76" s="30" t="s">
        <v>14</v>
      </c>
      <c r="J76" s="35">
        <v>3420712</v>
      </c>
      <c r="K76" s="34" t="s">
        <v>99</v>
      </c>
      <c r="L76" s="3"/>
      <c r="M76" s="5"/>
      <c r="N76" s="5"/>
      <c r="O76" s="6"/>
      <c r="P76" s="6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4.25" customHeight="1" x14ac:dyDescent="0.35">
      <c r="A77" s="1"/>
      <c r="B77" s="29"/>
      <c r="C77" s="29" t="s">
        <v>97</v>
      </c>
      <c r="D77" s="29"/>
      <c r="E77" s="35"/>
      <c r="F77" s="32"/>
      <c r="G77" s="32"/>
      <c r="H77" s="30" t="s">
        <v>100</v>
      </c>
      <c r="I77" s="30" t="s">
        <v>14</v>
      </c>
      <c r="J77" s="35">
        <v>3418396</v>
      </c>
      <c r="K77" s="34" t="s">
        <v>99</v>
      </c>
      <c r="L77" s="3"/>
      <c r="M77" s="5"/>
      <c r="N77" s="5"/>
      <c r="O77" s="6"/>
      <c r="P77" s="6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4.25" customHeight="1" x14ac:dyDescent="0.35">
      <c r="A78" s="1"/>
      <c r="B78" s="29"/>
      <c r="C78" s="30" t="s">
        <v>11</v>
      </c>
      <c r="D78" s="29" t="s">
        <v>30</v>
      </c>
      <c r="E78" s="31">
        <v>45638</v>
      </c>
      <c r="F78" s="32">
        <v>53009</v>
      </c>
      <c r="G78" s="32">
        <f>((F78-3026)*1.5)+3026+11250</f>
        <v>89250.5</v>
      </c>
      <c r="H78" s="30" t="s">
        <v>103</v>
      </c>
      <c r="I78" s="30" t="s">
        <v>14</v>
      </c>
      <c r="J78" s="30">
        <v>3297601</v>
      </c>
      <c r="K78" s="36">
        <v>45817</v>
      </c>
      <c r="L78" s="3" t="s">
        <v>104</v>
      </c>
      <c r="M78" s="5"/>
      <c r="N78" s="3"/>
      <c r="O78" s="6"/>
      <c r="P78" s="6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4.25" customHeight="1" x14ac:dyDescent="0.35">
      <c r="A79" s="1"/>
      <c r="B79" s="29" t="s">
        <v>105</v>
      </c>
      <c r="C79" s="30" t="s">
        <v>106</v>
      </c>
      <c r="D79" s="29"/>
      <c r="E79" s="31"/>
      <c r="F79" s="32" t="s">
        <v>107</v>
      </c>
      <c r="G79" s="32"/>
      <c r="H79" s="29" t="s">
        <v>108</v>
      </c>
      <c r="I79" s="30" t="s">
        <v>14</v>
      </c>
      <c r="J79" s="30">
        <v>3381100</v>
      </c>
      <c r="K79" s="34" t="s">
        <v>77</v>
      </c>
      <c r="L79" s="5" t="s">
        <v>109</v>
      </c>
      <c r="M79" s="5"/>
      <c r="N79" s="5"/>
      <c r="O79" s="6"/>
      <c r="P79" s="6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4.25" customHeight="1" x14ac:dyDescent="0.35">
      <c r="A80" s="1"/>
      <c r="B80" s="30" t="s">
        <v>110</v>
      </c>
      <c r="C80" s="29" t="s">
        <v>111</v>
      </c>
      <c r="D80" s="29"/>
      <c r="E80" s="33"/>
      <c r="F80" s="32"/>
      <c r="G80" s="32"/>
      <c r="H80" s="29" t="s">
        <v>112</v>
      </c>
      <c r="I80" s="30" t="s">
        <v>14</v>
      </c>
      <c r="J80" s="30">
        <v>3364376</v>
      </c>
      <c r="K80" s="34" t="s">
        <v>77</v>
      </c>
      <c r="L80" s="3" t="s">
        <v>114</v>
      </c>
      <c r="M80" s="5"/>
      <c r="N80" s="5"/>
      <c r="O80" s="6"/>
      <c r="P80" s="6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4.25" customHeight="1" x14ac:dyDescent="0.35">
      <c r="A81" s="1"/>
      <c r="B81" s="29" t="s">
        <v>115</v>
      </c>
      <c r="C81" s="30" t="s">
        <v>116</v>
      </c>
      <c r="D81" s="29"/>
      <c r="E81" s="31"/>
      <c r="F81" s="32"/>
      <c r="G81" s="32"/>
      <c r="H81" s="29" t="s">
        <v>117</v>
      </c>
      <c r="I81" s="30" t="s">
        <v>14</v>
      </c>
      <c r="J81" s="30">
        <v>3371785</v>
      </c>
      <c r="K81" s="34">
        <v>45752</v>
      </c>
      <c r="L81" s="5" t="s">
        <v>118</v>
      </c>
      <c r="M81" s="5"/>
      <c r="N81" s="5"/>
      <c r="O81" s="6"/>
      <c r="P81" s="6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4.25" customHeight="1" x14ac:dyDescent="0.35">
      <c r="A82" s="1"/>
      <c r="B82" s="29"/>
      <c r="C82" s="29" t="s">
        <v>119</v>
      </c>
      <c r="D82" s="30"/>
      <c r="E82" s="37"/>
      <c r="F82" s="37"/>
      <c r="G82" s="32"/>
      <c r="H82" s="30" t="s">
        <v>120</v>
      </c>
      <c r="I82" s="30" t="s">
        <v>14</v>
      </c>
      <c r="J82" s="30">
        <v>3371707</v>
      </c>
      <c r="K82" s="34">
        <v>45747</v>
      </c>
      <c r="L82" s="3" t="s">
        <v>121</v>
      </c>
      <c r="M82" s="5"/>
      <c r="N82" s="5"/>
      <c r="O82" s="6"/>
      <c r="P82" s="7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4.25" customHeight="1" thickBot="1" x14ac:dyDescent="0.4">
      <c r="A83" s="38"/>
      <c r="B83" s="3"/>
      <c r="C83" s="5"/>
      <c r="D83" s="3"/>
      <c r="E83" s="2"/>
      <c r="F83" s="6"/>
      <c r="G83" s="6"/>
      <c r="H83" s="6"/>
      <c r="I83" s="5"/>
      <c r="J83" s="5"/>
      <c r="K83" s="21"/>
      <c r="L83" s="3"/>
      <c r="M83" s="5"/>
      <c r="N83" s="5"/>
      <c r="O83" s="6"/>
      <c r="P83" s="7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4.25" customHeight="1" thickBot="1" x14ac:dyDescent="0.4">
      <c r="A84" s="1"/>
      <c r="B84" s="173" t="s">
        <v>123</v>
      </c>
      <c r="C84" s="174"/>
      <c r="D84" s="174"/>
      <c r="E84" s="174"/>
      <c r="F84" s="174"/>
      <c r="G84" s="174"/>
      <c r="H84" s="174"/>
      <c r="I84" s="174"/>
      <c r="J84" s="174"/>
      <c r="K84" s="175"/>
      <c r="L84" s="3"/>
      <c r="M84" s="5"/>
      <c r="N84" s="5"/>
      <c r="O84" s="6"/>
      <c r="P84" s="7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4.25" customHeight="1" x14ac:dyDescent="0.35">
      <c r="A85" s="1"/>
      <c r="B85" s="158"/>
      <c r="C85" s="159" t="s">
        <v>1170</v>
      </c>
      <c r="D85" s="159"/>
      <c r="E85" s="159"/>
      <c r="F85" s="159"/>
      <c r="G85" s="159"/>
      <c r="H85" s="159" t="s">
        <v>1169</v>
      </c>
      <c r="I85" s="159" t="s">
        <v>36</v>
      </c>
      <c r="J85" s="159"/>
      <c r="K85" s="160"/>
      <c r="L85" s="3" t="s">
        <v>1178</v>
      </c>
      <c r="M85" s="5"/>
      <c r="N85" s="5"/>
      <c r="O85" s="6"/>
      <c r="P85" s="7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4.25" customHeight="1" x14ac:dyDescent="0.35">
      <c r="A86" s="1"/>
      <c r="B86" s="29"/>
      <c r="C86" s="29" t="s">
        <v>101</v>
      </c>
      <c r="D86" s="29"/>
      <c r="E86" s="35"/>
      <c r="F86" s="32"/>
      <c r="G86" s="32"/>
      <c r="H86" s="30" t="s">
        <v>102</v>
      </c>
      <c r="I86" s="30" t="s">
        <v>14</v>
      </c>
      <c r="J86" s="35">
        <v>3417615</v>
      </c>
      <c r="K86" s="34">
        <v>45830</v>
      </c>
      <c r="L86" s="3"/>
      <c r="M86" s="5"/>
      <c r="N86" s="5"/>
      <c r="O86" s="6"/>
      <c r="P86" s="6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4.25" customHeight="1" x14ac:dyDescent="0.35">
      <c r="A87" s="1"/>
      <c r="B87" s="116" t="s">
        <v>1133</v>
      </c>
      <c r="C87" s="117" t="s">
        <v>1110</v>
      </c>
      <c r="D87" s="116"/>
      <c r="E87" s="118"/>
      <c r="F87" s="137">
        <v>93390.8</v>
      </c>
      <c r="G87" s="137">
        <f>((F87-4000)*1.5)+4000+11250</f>
        <v>149336.20000000001</v>
      </c>
      <c r="H87" s="116" t="s">
        <v>1116</v>
      </c>
      <c r="I87" s="117" t="s">
        <v>14</v>
      </c>
      <c r="J87" s="117">
        <v>3511634</v>
      </c>
      <c r="K87" s="141">
        <v>45680</v>
      </c>
      <c r="L87" s="43" t="s">
        <v>1134</v>
      </c>
      <c r="M87" s="3"/>
      <c r="N87" s="5"/>
      <c r="O87" s="6"/>
      <c r="P87" s="7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4.25" customHeight="1" x14ac:dyDescent="0.35">
      <c r="A88" s="1"/>
      <c r="B88" s="116" t="s">
        <v>1136</v>
      </c>
      <c r="C88" s="117"/>
      <c r="D88" s="116" t="s">
        <v>1137</v>
      </c>
      <c r="E88" s="118"/>
      <c r="F88" s="85"/>
      <c r="G88" s="85"/>
      <c r="H88" s="98" t="s">
        <v>1129</v>
      </c>
      <c r="I88" s="149" t="s">
        <v>14</v>
      </c>
      <c r="J88" s="149">
        <v>3518398</v>
      </c>
      <c r="K88" s="150">
        <v>46061</v>
      </c>
      <c r="L88" s="5" t="s">
        <v>1130</v>
      </c>
      <c r="M88" s="3"/>
      <c r="N88" s="5"/>
      <c r="O88" s="6"/>
      <c r="P88" s="7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4.25" customHeight="1" x14ac:dyDescent="0.35">
      <c r="A89" s="38" t="s">
        <v>985</v>
      </c>
      <c r="B89" s="83"/>
      <c r="C89" s="83" t="s">
        <v>968</v>
      </c>
      <c r="D89" s="83"/>
      <c r="E89" s="84"/>
      <c r="F89" s="85"/>
      <c r="G89" s="85"/>
      <c r="H89" s="83" t="s">
        <v>961</v>
      </c>
      <c r="I89" s="30" t="s">
        <v>14</v>
      </c>
      <c r="J89" s="86">
        <v>3484122</v>
      </c>
      <c r="K89" s="34" t="s">
        <v>77</v>
      </c>
      <c r="L89" s="5" t="s">
        <v>963</v>
      </c>
      <c r="M89" s="5"/>
      <c r="N89" s="82"/>
      <c r="O89" s="6"/>
      <c r="P89" s="6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4.25" customHeight="1" x14ac:dyDescent="0.35">
      <c r="A90" s="1"/>
      <c r="B90" s="83" t="s">
        <v>1068</v>
      </c>
      <c r="C90" s="139" t="s">
        <v>1103</v>
      </c>
      <c r="D90" s="83"/>
      <c r="E90" s="84"/>
      <c r="F90" s="137">
        <v>94340.85</v>
      </c>
      <c r="G90" s="137">
        <f>((F90)*1.5)+4933+11250</f>
        <v>157694.27500000002</v>
      </c>
      <c r="H90" s="116" t="s">
        <v>1066</v>
      </c>
      <c r="I90" s="117" t="s">
        <v>14</v>
      </c>
      <c r="J90" s="117">
        <v>3506438</v>
      </c>
      <c r="K90" s="128">
        <v>46032</v>
      </c>
      <c r="L90" s="5" t="s">
        <v>1089</v>
      </c>
      <c r="M90" s="3" t="s">
        <v>1018</v>
      </c>
      <c r="N90" s="82"/>
      <c r="O90" s="95" t="s">
        <v>1057</v>
      </c>
      <c r="P90" s="6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4.25" customHeight="1" x14ac:dyDescent="0.35">
      <c r="A91" s="1"/>
      <c r="B91" s="98">
        <v>28657</v>
      </c>
      <c r="C91" s="98" t="s">
        <v>57</v>
      </c>
      <c r="D91" s="98" t="s">
        <v>62</v>
      </c>
      <c r="E91" s="150">
        <v>45916</v>
      </c>
      <c r="F91" s="137">
        <v>78005</v>
      </c>
      <c r="G91" s="137">
        <f>((F91-4946)*1.45)+4946+11250</f>
        <v>122131.55</v>
      </c>
      <c r="H91" s="149" t="s">
        <v>1053</v>
      </c>
      <c r="I91" s="149" t="s">
        <v>36</v>
      </c>
      <c r="J91" s="151">
        <v>3494621</v>
      </c>
      <c r="K91" s="150">
        <v>46000</v>
      </c>
      <c r="L91" s="5" t="s">
        <v>1065</v>
      </c>
      <c r="M91" s="5"/>
      <c r="N91" s="5"/>
      <c r="O91" s="6"/>
      <c r="P91" s="7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4.25" customHeight="1" x14ac:dyDescent="0.35">
      <c r="A92" s="1"/>
      <c r="B92" s="29"/>
      <c r="C92" s="30" t="s">
        <v>82</v>
      </c>
      <c r="D92" s="29"/>
      <c r="E92" s="31"/>
      <c r="F92" s="32"/>
      <c r="G92" s="32"/>
      <c r="H92" s="29" t="s">
        <v>83</v>
      </c>
      <c r="I92" s="30" t="s">
        <v>14</v>
      </c>
      <c r="J92" s="30">
        <v>3474528</v>
      </c>
      <c r="K92" s="34" t="s">
        <v>77</v>
      </c>
      <c r="L92" s="5" t="s">
        <v>84</v>
      </c>
      <c r="M92" s="5"/>
      <c r="N92" s="5"/>
      <c r="O92" s="6"/>
      <c r="P92" s="6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4.25" customHeight="1" x14ac:dyDescent="0.35">
      <c r="A93" s="1"/>
      <c r="B93" s="29"/>
      <c r="C93" s="30" t="s">
        <v>87</v>
      </c>
      <c r="D93" s="29"/>
      <c r="E93" s="31"/>
      <c r="F93" s="32"/>
      <c r="G93" s="32"/>
      <c r="H93" s="29" t="s">
        <v>88</v>
      </c>
      <c r="I93" s="30" t="s">
        <v>14</v>
      </c>
      <c r="J93" s="30">
        <v>3460893</v>
      </c>
      <c r="K93" s="34" t="s">
        <v>77</v>
      </c>
      <c r="L93" s="5" t="s">
        <v>89</v>
      </c>
      <c r="M93" s="5"/>
      <c r="N93" s="5"/>
      <c r="O93" s="6"/>
      <c r="P93" s="6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4.25" customHeight="1" x14ac:dyDescent="0.35">
      <c r="A94" s="1"/>
      <c r="B94" s="29"/>
      <c r="C94" s="30" t="s">
        <v>90</v>
      </c>
      <c r="D94" s="29"/>
      <c r="E94" s="31"/>
      <c r="F94" s="32"/>
      <c r="G94" s="32"/>
      <c r="H94" s="30" t="s">
        <v>91</v>
      </c>
      <c r="I94" s="30" t="s">
        <v>14</v>
      </c>
      <c r="J94" s="35">
        <v>3442449</v>
      </c>
      <c r="K94" s="34">
        <v>45880</v>
      </c>
      <c r="L94" s="3" t="s">
        <v>92</v>
      </c>
      <c r="M94" s="5"/>
      <c r="N94" s="5"/>
      <c r="O94" s="6"/>
      <c r="P94" s="6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4.25" customHeight="1" x14ac:dyDescent="0.35">
      <c r="A95" s="1"/>
      <c r="B95" s="116"/>
      <c r="C95" s="117" t="s">
        <v>1108</v>
      </c>
      <c r="D95" s="116"/>
      <c r="E95" s="118"/>
      <c r="F95" s="99"/>
      <c r="G95" s="99"/>
      <c r="H95" s="83" t="s">
        <v>1080</v>
      </c>
      <c r="I95" s="86" t="s">
        <v>14</v>
      </c>
      <c r="J95" s="86">
        <v>3511486</v>
      </c>
      <c r="K95" s="84">
        <v>46041</v>
      </c>
      <c r="L95" s="5" t="s">
        <v>1107</v>
      </c>
      <c r="M95" s="5"/>
      <c r="N95" s="5"/>
      <c r="O95" s="6"/>
      <c r="P95" s="7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4.25" customHeight="1" x14ac:dyDescent="0.35">
      <c r="A96" s="1"/>
      <c r="B96" s="116"/>
      <c r="C96" s="117" t="s">
        <v>1047</v>
      </c>
      <c r="D96" s="116"/>
      <c r="E96" s="118"/>
      <c r="F96" s="99"/>
      <c r="G96" s="99"/>
      <c r="H96" s="116" t="s">
        <v>1044</v>
      </c>
      <c r="I96" s="117" t="s">
        <v>14</v>
      </c>
      <c r="J96" s="117">
        <v>3499007</v>
      </c>
      <c r="K96" s="128">
        <v>46012</v>
      </c>
      <c r="L96" s="43" t="s">
        <v>1121</v>
      </c>
      <c r="M96" s="5"/>
      <c r="N96" s="5"/>
      <c r="O96" s="6"/>
      <c r="P96" s="7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4.25" customHeight="1" x14ac:dyDescent="0.35">
      <c r="A97" s="152" t="s">
        <v>1119</v>
      </c>
      <c r="B97" s="142" t="s">
        <v>1106</v>
      </c>
      <c r="C97" s="143" t="s">
        <v>1055</v>
      </c>
      <c r="D97" s="142"/>
      <c r="E97" s="148"/>
      <c r="F97" s="81">
        <v>108746</v>
      </c>
      <c r="G97" s="81">
        <f>((F97-4000)*1.5)+4000+11250</f>
        <v>172369</v>
      </c>
      <c r="H97" s="142" t="s">
        <v>1050</v>
      </c>
      <c r="I97" s="143" t="s">
        <v>14</v>
      </c>
      <c r="J97" s="143">
        <v>3501771</v>
      </c>
      <c r="K97" s="144">
        <v>46019</v>
      </c>
      <c r="L97" s="43" t="s">
        <v>1150</v>
      </c>
      <c r="M97" s="3" t="s">
        <v>1018</v>
      </c>
      <c r="N97" s="5"/>
      <c r="O97" s="6"/>
      <c r="P97" s="7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4.25" customHeight="1" x14ac:dyDescent="0.35">
      <c r="A98" s="1"/>
      <c r="B98" s="116"/>
      <c r="C98" s="117" t="s">
        <v>1101</v>
      </c>
      <c r="D98" s="116"/>
      <c r="E98" s="118"/>
      <c r="F98" s="99"/>
      <c r="G98" s="99"/>
      <c r="H98" s="116" t="s">
        <v>1100</v>
      </c>
      <c r="I98" s="117" t="s">
        <v>212</v>
      </c>
      <c r="J98" s="117">
        <v>3513242</v>
      </c>
      <c r="K98" s="141" t="s">
        <v>77</v>
      </c>
      <c r="L98" s="43" t="s">
        <v>1104</v>
      </c>
      <c r="M98" s="5"/>
      <c r="N98" s="5"/>
      <c r="O98" s="6"/>
      <c r="P98" s="7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4.25" customHeight="1" x14ac:dyDescent="0.35">
      <c r="A99" s="1"/>
      <c r="B99" s="116"/>
      <c r="C99" s="117"/>
      <c r="D99" s="116"/>
      <c r="E99" s="118"/>
      <c r="F99" s="99"/>
      <c r="G99" s="99"/>
      <c r="H99" s="98" t="s">
        <v>1015</v>
      </c>
      <c r="I99" s="149" t="s">
        <v>212</v>
      </c>
      <c r="J99" s="149"/>
      <c r="K99" s="150" t="s">
        <v>300</v>
      </c>
      <c r="L99" s="5" t="s">
        <v>1094</v>
      </c>
      <c r="M99" s="5"/>
      <c r="N99" s="5"/>
      <c r="O99" s="6"/>
      <c r="P99" s="7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4.25" customHeight="1" x14ac:dyDescent="0.35">
      <c r="A100" s="1"/>
      <c r="B100" s="116"/>
      <c r="C100" s="117" t="s">
        <v>1098</v>
      </c>
      <c r="D100" s="116"/>
      <c r="E100" s="118"/>
      <c r="F100" s="99"/>
      <c r="G100" s="99"/>
      <c r="H100" s="116" t="s">
        <v>1095</v>
      </c>
      <c r="I100" s="117" t="s">
        <v>14</v>
      </c>
      <c r="J100" s="117">
        <v>3513432</v>
      </c>
      <c r="K100" s="141" t="s">
        <v>77</v>
      </c>
      <c r="L100" s="43" t="s">
        <v>1099</v>
      </c>
      <c r="M100" s="5"/>
      <c r="N100" s="5"/>
      <c r="O100" s="6"/>
      <c r="P100" s="7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4.25" customHeight="1" x14ac:dyDescent="0.35">
      <c r="A101" s="1"/>
      <c r="B101" s="83"/>
      <c r="C101" s="98" t="s">
        <v>982</v>
      </c>
      <c r="D101" s="83"/>
      <c r="E101" s="84"/>
      <c r="F101" s="85"/>
      <c r="G101" s="85"/>
      <c r="H101" s="83" t="s">
        <v>981</v>
      </c>
      <c r="I101" s="86" t="s">
        <v>14</v>
      </c>
      <c r="J101" s="86">
        <v>3410022</v>
      </c>
      <c r="K101" s="84"/>
      <c r="L101" s="5"/>
      <c r="M101" s="5"/>
      <c r="N101" s="82"/>
      <c r="O101" s="6"/>
      <c r="P101" s="6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4.25" customHeight="1" x14ac:dyDescent="0.35">
      <c r="A102" s="1"/>
      <c r="B102" s="116"/>
      <c r="C102" s="117"/>
      <c r="D102" s="116"/>
      <c r="E102" s="118"/>
      <c r="F102" s="99"/>
      <c r="G102" s="99"/>
      <c r="H102" s="29" t="s">
        <v>73</v>
      </c>
      <c r="I102" s="30" t="s">
        <v>14</v>
      </c>
      <c r="J102" s="30">
        <v>3464540</v>
      </c>
      <c r="K102" s="122">
        <v>45996</v>
      </c>
      <c r="L102" s="5" t="s">
        <v>1016</v>
      </c>
      <c r="M102" s="5"/>
      <c r="N102" s="5"/>
      <c r="O102" s="6"/>
      <c r="P102" s="7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4.25" customHeight="1" x14ac:dyDescent="0.35">
      <c r="A103" s="1"/>
      <c r="B103" s="83"/>
      <c r="C103" s="83" t="s">
        <v>1006</v>
      </c>
      <c r="D103" s="83"/>
      <c r="E103" s="84"/>
      <c r="F103" s="85"/>
      <c r="G103" s="85"/>
      <c r="H103" s="83" t="s">
        <v>959</v>
      </c>
      <c r="I103" s="86" t="s">
        <v>14</v>
      </c>
      <c r="J103" s="86">
        <v>3484502</v>
      </c>
      <c r="K103" s="84">
        <v>45976</v>
      </c>
      <c r="L103" s="5" t="s">
        <v>1007</v>
      </c>
      <c r="M103" s="5"/>
      <c r="N103" s="82"/>
      <c r="O103" s="6"/>
      <c r="P103" s="6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4.25" customHeight="1" x14ac:dyDescent="0.35">
      <c r="A104" s="1"/>
      <c r="B104" s="29" t="s">
        <v>1045</v>
      </c>
      <c r="C104" s="30" t="s">
        <v>1046</v>
      </c>
      <c r="D104" s="29"/>
      <c r="E104" s="31"/>
      <c r="F104" s="32">
        <v>55579</v>
      </c>
      <c r="G104" s="87">
        <f>((F104-1500)*1.45)+1500+11250</f>
        <v>91164.55</v>
      </c>
      <c r="H104" s="29" t="s">
        <v>71</v>
      </c>
      <c r="I104" s="30" t="s">
        <v>14</v>
      </c>
      <c r="J104" s="30">
        <v>3333485</v>
      </c>
      <c r="K104" s="31">
        <v>45969</v>
      </c>
      <c r="L104" s="3" t="s">
        <v>1061</v>
      </c>
      <c r="M104" s="5"/>
      <c r="N104" s="5"/>
      <c r="O104" s="6"/>
      <c r="P104" s="6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4.25" customHeight="1" x14ac:dyDescent="0.35">
      <c r="A105" s="1"/>
      <c r="B105" s="116"/>
      <c r="C105" s="117" t="s">
        <v>1028</v>
      </c>
      <c r="D105" s="116"/>
      <c r="E105" s="118"/>
      <c r="F105" s="99"/>
      <c r="G105" s="99"/>
      <c r="H105" s="129" t="s">
        <v>68</v>
      </c>
      <c r="I105" s="88" t="s">
        <v>14</v>
      </c>
      <c r="J105" s="88">
        <v>3391082</v>
      </c>
      <c r="K105" s="130">
        <v>45943</v>
      </c>
      <c r="L105" s="43" t="s">
        <v>1027</v>
      </c>
      <c r="M105" s="5"/>
      <c r="N105" s="5"/>
      <c r="O105" s="6"/>
      <c r="P105" s="7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4.25" customHeight="1" x14ac:dyDescent="0.35">
      <c r="A106" s="1"/>
      <c r="B106" s="29"/>
      <c r="C106" s="30" t="s">
        <v>79</v>
      </c>
      <c r="D106" s="29"/>
      <c r="E106" s="31"/>
      <c r="F106" s="32"/>
      <c r="G106" s="32"/>
      <c r="H106" s="29" t="s">
        <v>80</v>
      </c>
      <c r="I106" s="30" t="s">
        <v>14</v>
      </c>
      <c r="J106" s="30">
        <v>3472985</v>
      </c>
      <c r="K106" s="34" t="s">
        <v>77</v>
      </c>
      <c r="L106" s="5" t="s">
        <v>81</v>
      </c>
      <c r="M106" s="5"/>
      <c r="N106" s="5"/>
      <c r="O106" s="6"/>
      <c r="P106" s="6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4.25" customHeight="1" x14ac:dyDescent="0.35">
      <c r="A107" s="1"/>
      <c r="B107" s="83"/>
      <c r="C107" s="83" t="s">
        <v>966</v>
      </c>
      <c r="D107" s="83"/>
      <c r="E107" s="84"/>
      <c r="F107" s="85"/>
      <c r="G107" s="85"/>
      <c r="H107" s="83" t="s">
        <v>958</v>
      </c>
      <c r="I107" s="86"/>
      <c r="J107" s="86">
        <v>3484974</v>
      </c>
      <c r="K107" s="34" t="s">
        <v>77</v>
      </c>
      <c r="L107" s="5" t="s">
        <v>965</v>
      </c>
      <c r="M107" s="5"/>
      <c r="N107" s="82"/>
      <c r="O107" s="6"/>
      <c r="P107" s="6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4.25" customHeight="1" x14ac:dyDescent="0.35">
      <c r="A108" s="1"/>
      <c r="B108" s="29"/>
      <c r="C108" s="30" t="s">
        <v>124</v>
      </c>
      <c r="D108" s="29"/>
      <c r="E108" s="31"/>
      <c r="F108" s="32"/>
      <c r="G108" s="32"/>
      <c r="H108" s="30" t="s">
        <v>125</v>
      </c>
      <c r="I108" s="30" t="s">
        <v>14</v>
      </c>
      <c r="J108" s="35" t="s">
        <v>126</v>
      </c>
      <c r="K108" s="31"/>
      <c r="L108" s="3" t="s">
        <v>127</v>
      </c>
      <c r="M108" s="5"/>
      <c r="N108" s="5"/>
      <c r="O108" s="6"/>
      <c r="P108" s="6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3.5" customHeight="1" x14ac:dyDescent="0.35">
      <c r="A109" s="1"/>
      <c r="B109" s="29" t="s">
        <v>128</v>
      </c>
      <c r="C109" s="30" t="s">
        <v>129</v>
      </c>
      <c r="D109" s="29"/>
      <c r="E109" s="31"/>
      <c r="F109" s="32"/>
      <c r="G109" s="32"/>
      <c r="H109" s="29" t="s">
        <v>130</v>
      </c>
      <c r="I109" s="30" t="s">
        <v>36</v>
      </c>
      <c r="J109" s="30">
        <v>3462642</v>
      </c>
      <c r="K109" s="31"/>
      <c r="L109" s="5"/>
      <c r="M109" s="5"/>
      <c r="N109" s="5"/>
      <c r="O109" s="6"/>
      <c r="P109" s="6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4.25" customHeight="1" x14ac:dyDescent="0.35">
      <c r="A110" s="1"/>
      <c r="B110" s="29" t="s">
        <v>131</v>
      </c>
      <c r="C110" s="30" t="s">
        <v>132</v>
      </c>
      <c r="D110" s="29"/>
      <c r="E110" s="31"/>
      <c r="F110" s="32"/>
      <c r="G110" s="32"/>
      <c r="H110" s="29" t="s">
        <v>133</v>
      </c>
      <c r="I110" s="30" t="s">
        <v>36</v>
      </c>
      <c r="J110" s="30">
        <v>3449951</v>
      </c>
      <c r="K110" s="34">
        <v>45898</v>
      </c>
      <c r="L110" s="5" t="s">
        <v>134</v>
      </c>
      <c r="M110" s="5"/>
      <c r="N110" s="5"/>
      <c r="O110" s="6"/>
      <c r="P110" s="6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4.25" customHeight="1" x14ac:dyDescent="0.35">
      <c r="A111" s="1"/>
      <c r="B111" s="29" t="s">
        <v>135</v>
      </c>
      <c r="C111" s="29" t="s">
        <v>136</v>
      </c>
      <c r="D111" s="29"/>
      <c r="E111" s="35"/>
      <c r="F111" s="32"/>
      <c r="G111" s="32"/>
      <c r="H111" s="30" t="s">
        <v>137</v>
      </c>
      <c r="I111" s="30" t="s">
        <v>36</v>
      </c>
      <c r="J111" s="35">
        <v>3435434</v>
      </c>
      <c r="K111" s="34">
        <v>45866</v>
      </c>
      <c r="L111" s="3" t="s">
        <v>138</v>
      </c>
      <c r="M111" s="5"/>
      <c r="N111" s="5"/>
      <c r="O111" s="6"/>
      <c r="P111" s="6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4.25" customHeight="1" x14ac:dyDescent="0.35">
      <c r="A112" s="1"/>
      <c r="B112" s="29"/>
      <c r="C112" s="29" t="s">
        <v>139</v>
      </c>
      <c r="D112" s="29"/>
      <c r="E112" s="35"/>
      <c r="F112" s="32">
        <v>98687</v>
      </c>
      <c r="G112" s="32"/>
      <c r="H112" s="30" t="s">
        <v>140</v>
      </c>
      <c r="I112" s="30" t="s">
        <v>36</v>
      </c>
      <c r="J112" s="29" t="s">
        <v>141</v>
      </c>
      <c r="K112" s="31"/>
      <c r="L112" s="3" t="s">
        <v>142</v>
      </c>
      <c r="M112" s="5"/>
      <c r="N112" s="5"/>
      <c r="O112" s="6"/>
      <c r="P112" s="6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4.25" customHeight="1" x14ac:dyDescent="0.35">
      <c r="A113" s="1"/>
      <c r="B113" s="29"/>
      <c r="C113" s="30" t="s">
        <v>143</v>
      </c>
      <c r="D113" s="29"/>
      <c r="E113" s="31"/>
      <c r="F113" s="32"/>
      <c r="G113" s="32"/>
      <c r="H113" s="29" t="s">
        <v>144</v>
      </c>
      <c r="I113" s="30"/>
      <c r="J113" s="30">
        <v>3383876</v>
      </c>
      <c r="K113" s="34" t="s">
        <v>113</v>
      </c>
      <c r="L113" s="5" t="s">
        <v>145</v>
      </c>
      <c r="M113" s="5"/>
      <c r="N113" s="5"/>
      <c r="O113" s="6"/>
      <c r="P113" s="6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4.25" customHeight="1" x14ac:dyDescent="0.35">
      <c r="A114" s="1"/>
      <c r="B114" s="29" t="s">
        <v>146</v>
      </c>
      <c r="C114" s="30" t="s">
        <v>147</v>
      </c>
      <c r="D114" s="29"/>
      <c r="E114" s="31"/>
      <c r="F114" s="32"/>
      <c r="G114" s="32"/>
      <c r="H114" s="29" t="s">
        <v>148</v>
      </c>
      <c r="I114" s="30" t="s">
        <v>14</v>
      </c>
      <c r="J114" s="30">
        <v>3464110</v>
      </c>
      <c r="K114" s="31" t="s">
        <v>149</v>
      </c>
      <c r="L114" s="3" t="s">
        <v>150</v>
      </c>
      <c r="M114" s="5"/>
      <c r="N114" s="5"/>
      <c r="O114" s="6"/>
      <c r="P114" s="6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4.25" customHeight="1" x14ac:dyDescent="0.35">
      <c r="A115" s="1"/>
      <c r="B115" s="40" t="s">
        <v>151</v>
      </c>
      <c r="C115" s="30" t="s">
        <v>152</v>
      </c>
      <c r="D115" s="29"/>
      <c r="E115" s="31"/>
      <c r="F115" s="32"/>
      <c r="G115" s="32"/>
      <c r="H115" s="29" t="s">
        <v>153</v>
      </c>
      <c r="I115" s="30" t="s">
        <v>14</v>
      </c>
      <c r="J115" s="30">
        <v>3451566</v>
      </c>
      <c r="K115" s="31">
        <v>45915</v>
      </c>
      <c r="L115" s="5" t="s">
        <v>154</v>
      </c>
      <c r="M115" s="5"/>
      <c r="N115" s="5"/>
      <c r="O115" s="6"/>
      <c r="P115" s="6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4.25" customHeight="1" x14ac:dyDescent="0.35">
      <c r="A116" s="1"/>
      <c r="B116" s="40" t="s">
        <v>151</v>
      </c>
      <c r="C116" s="30" t="s">
        <v>155</v>
      </c>
      <c r="D116" s="29"/>
      <c r="E116" s="31"/>
      <c r="F116" s="32"/>
      <c r="G116" s="32"/>
      <c r="H116" s="29" t="s">
        <v>156</v>
      </c>
      <c r="I116" s="30" t="s">
        <v>14</v>
      </c>
      <c r="J116" s="30">
        <v>3437737</v>
      </c>
      <c r="K116" s="31">
        <v>45898</v>
      </c>
      <c r="L116" s="5" t="s">
        <v>157</v>
      </c>
      <c r="M116" s="5"/>
      <c r="N116" s="5"/>
      <c r="O116" s="6"/>
      <c r="P116" s="6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4.25" customHeight="1" x14ac:dyDescent="0.35">
      <c r="A117" s="1"/>
      <c r="B117" s="40" t="s">
        <v>151</v>
      </c>
      <c r="C117" s="29" t="s">
        <v>158</v>
      </c>
      <c r="D117" s="29"/>
      <c r="E117" s="35"/>
      <c r="F117" s="32"/>
      <c r="G117" s="32"/>
      <c r="H117" s="30" t="s">
        <v>159</v>
      </c>
      <c r="I117" s="30" t="s">
        <v>14</v>
      </c>
      <c r="J117" s="35">
        <v>3432615</v>
      </c>
      <c r="K117" s="34">
        <v>45867</v>
      </c>
      <c r="L117" s="3" t="s">
        <v>160</v>
      </c>
      <c r="M117" s="5"/>
      <c r="N117" s="5"/>
      <c r="O117" s="6"/>
      <c r="P117" s="6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4.25" customHeight="1" x14ac:dyDescent="0.35">
      <c r="A118" s="1"/>
      <c r="B118" s="29"/>
      <c r="C118" s="30" t="s">
        <v>161</v>
      </c>
      <c r="D118" s="29"/>
      <c r="E118" s="31"/>
      <c r="F118" s="32"/>
      <c r="G118" s="32"/>
      <c r="H118" s="30" t="s">
        <v>162</v>
      </c>
      <c r="I118" s="30" t="s">
        <v>14</v>
      </c>
      <c r="J118" s="35">
        <v>3442960</v>
      </c>
      <c r="K118" s="41" t="s">
        <v>113</v>
      </c>
      <c r="L118" s="3" t="s">
        <v>163</v>
      </c>
      <c r="M118" s="5"/>
      <c r="N118" s="5"/>
      <c r="O118" s="6"/>
      <c r="P118" s="6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4.25" customHeight="1" x14ac:dyDescent="0.35">
      <c r="A119" s="1"/>
      <c r="B119" s="29"/>
      <c r="C119" s="30" t="s">
        <v>164</v>
      </c>
      <c r="D119" s="29"/>
      <c r="E119" s="31"/>
      <c r="F119" s="32"/>
      <c r="G119" s="32"/>
      <c r="H119" s="29" t="s">
        <v>165</v>
      </c>
      <c r="I119" s="30" t="s">
        <v>14</v>
      </c>
      <c r="J119" s="42">
        <v>3465102</v>
      </c>
      <c r="K119" s="34" t="s">
        <v>166</v>
      </c>
      <c r="L119" s="5" t="s">
        <v>167</v>
      </c>
      <c r="M119" s="5"/>
      <c r="N119" s="5"/>
      <c r="O119" s="6"/>
      <c r="P119" s="6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4.25" customHeight="1" x14ac:dyDescent="0.35">
      <c r="A120" s="1"/>
      <c r="B120" s="29"/>
      <c r="C120" s="30" t="s">
        <v>168</v>
      </c>
      <c r="D120" s="29"/>
      <c r="E120" s="31"/>
      <c r="F120" s="32"/>
      <c r="G120" s="32"/>
      <c r="H120" s="29" t="s">
        <v>169</v>
      </c>
      <c r="I120" s="30" t="s">
        <v>14</v>
      </c>
      <c r="J120" s="42">
        <v>3462695</v>
      </c>
      <c r="K120" s="34" t="s">
        <v>113</v>
      </c>
      <c r="L120" s="5" t="s">
        <v>170</v>
      </c>
      <c r="M120" s="5">
        <v>3457573</v>
      </c>
      <c r="N120" s="5"/>
      <c r="O120" s="6"/>
      <c r="P120" s="6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4.25" customHeight="1" x14ac:dyDescent="0.35">
      <c r="A121" s="1"/>
      <c r="B121" s="29" t="s">
        <v>171</v>
      </c>
      <c r="C121" s="30" t="s">
        <v>172</v>
      </c>
      <c r="D121" s="29"/>
      <c r="E121" s="31"/>
      <c r="F121" s="32"/>
      <c r="G121" s="32"/>
      <c r="H121" s="29" t="s">
        <v>173</v>
      </c>
      <c r="I121" s="30" t="s">
        <v>14</v>
      </c>
      <c r="J121" s="30">
        <v>3409133</v>
      </c>
      <c r="K121" s="41">
        <v>45814</v>
      </c>
      <c r="L121" s="5" t="s">
        <v>174</v>
      </c>
      <c r="M121" s="5"/>
      <c r="N121" s="5"/>
      <c r="O121" s="6"/>
      <c r="P121" s="6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3.5" customHeight="1" x14ac:dyDescent="0.35">
      <c r="A122" s="1"/>
      <c r="B122" s="29"/>
      <c r="C122" s="29" t="s">
        <v>175</v>
      </c>
      <c r="D122" s="29"/>
      <c r="E122" s="35"/>
      <c r="F122" s="32"/>
      <c r="G122" s="32"/>
      <c r="H122" s="30" t="s">
        <v>176</v>
      </c>
      <c r="I122" s="30" t="s">
        <v>14</v>
      </c>
      <c r="J122" s="35">
        <v>3429333</v>
      </c>
      <c r="K122" s="34">
        <v>45852</v>
      </c>
      <c r="L122" s="3"/>
      <c r="M122" s="5"/>
      <c r="N122" s="5"/>
      <c r="O122" s="6"/>
      <c r="P122" s="6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4.25" customHeight="1" x14ac:dyDescent="0.35">
      <c r="A123" s="1"/>
      <c r="B123" s="29" t="s">
        <v>177</v>
      </c>
      <c r="C123" s="30" t="s">
        <v>178</v>
      </c>
      <c r="D123" s="29"/>
      <c r="E123" s="31"/>
      <c r="F123" s="32" t="s">
        <v>179</v>
      </c>
      <c r="G123" s="32"/>
      <c r="H123" s="29" t="s">
        <v>180</v>
      </c>
      <c r="I123" s="30" t="s">
        <v>19</v>
      </c>
      <c r="J123" s="30">
        <v>3449005</v>
      </c>
      <c r="K123" s="31">
        <v>45895</v>
      </c>
      <c r="L123" s="5" t="s">
        <v>181</v>
      </c>
      <c r="M123" s="5"/>
      <c r="N123" s="5"/>
      <c r="O123" s="6"/>
      <c r="P123" s="6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4.25" customHeight="1" x14ac:dyDescent="0.35">
      <c r="A124" s="1"/>
      <c r="B124" s="29"/>
      <c r="C124" s="30"/>
      <c r="D124" s="29"/>
      <c r="E124" s="31"/>
      <c r="F124" s="32"/>
      <c r="G124" s="32"/>
      <c r="H124" s="30" t="s">
        <v>182</v>
      </c>
      <c r="I124" s="30" t="s">
        <v>14</v>
      </c>
      <c r="J124" s="35">
        <v>3442953</v>
      </c>
      <c r="K124" s="34" t="s">
        <v>183</v>
      </c>
      <c r="L124" s="3" t="s">
        <v>184</v>
      </c>
      <c r="M124" s="5"/>
      <c r="N124" s="5"/>
      <c r="O124" s="6"/>
      <c r="P124" s="6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4.25" customHeight="1" x14ac:dyDescent="0.35">
      <c r="A125" s="1"/>
      <c r="B125" s="29"/>
      <c r="C125" s="30" t="s">
        <v>185</v>
      </c>
      <c r="D125" s="29"/>
      <c r="E125" s="31"/>
      <c r="F125" s="32"/>
      <c r="G125" s="32"/>
      <c r="H125" s="29" t="s">
        <v>186</v>
      </c>
      <c r="I125" s="30"/>
      <c r="J125" s="30">
        <v>3460824</v>
      </c>
      <c r="K125" s="41" t="s">
        <v>113</v>
      </c>
      <c r="L125" s="5"/>
      <c r="M125" s="5"/>
      <c r="N125" s="5"/>
      <c r="O125" s="6"/>
      <c r="P125" s="6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4.25" customHeight="1" x14ac:dyDescent="0.35">
      <c r="A126" s="1"/>
      <c r="B126" s="29" t="s">
        <v>187</v>
      </c>
      <c r="C126" s="30" t="s">
        <v>188</v>
      </c>
      <c r="D126" s="29"/>
      <c r="E126" s="31"/>
      <c r="F126" s="32"/>
      <c r="G126" s="32"/>
      <c r="H126" s="30" t="s">
        <v>189</v>
      </c>
      <c r="I126" s="30" t="s">
        <v>14</v>
      </c>
      <c r="J126" s="35">
        <v>3443484</v>
      </c>
      <c r="K126" s="34" t="s">
        <v>190</v>
      </c>
      <c r="L126" s="3" t="s">
        <v>191</v>
      </c>
      <c r="M126" s="5"/>
      <c r="N126" s="5"/>
      <c r="O126" s="6"/>
      <c r="P126" s="6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4.25" customHeight="1" x14ac:dyDescent="0.35">
      <c r="A127" s="1"/>
      <c r="B127" s="29" t="s">
        <v>192</v>
      </c>
      <c r="C127" s="30" t="s">
        <v>193</v>
      </c>
      <c r="D127" s="29"/>
      <c r="E127" s="31"/>
      <c r="F127" s="32"/>
      <c r="G127" s="32"/>
      <c r="H127" s="30" t="s">
        <v>194</v>
      </c>
      <c r="I127" s="30" t="s">
        <v>31</v>
      </c>
      <c r="J127" s="35">
        <v>3439445</v>
      </c>
      <c r="K127" s="31">
        <v>45874</v>
      </c>
      <c r="L127" s="40" t="s">
        <v>195</v>
      </c>
      <c r="M127" s="5"/>
      <c r="N127" s="5"/>
      <c r="O127" s="6"/>
      <c r="P127" s="6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4.25" customHeight="1" x14ac:dyDescent="0.35">
      <c r="A128" s="1"/>
      <c r="B128" s="29"/>
      <c r="C128" s="29" t="s">
        <v>196</v>
      </c>
      <c r="D128" s="29"/>
      <c r="E128" s="35"/>
      <c r="F128" s="32"/>
      <c r="G128" s="32"/>
      <c r="H128" s="30" t="s">
        <v>197</v>
      </c>
      <c r="I128" s="30" t="s">
        <v>14</v>
      </c>
      <c r="J128" s="35">
        <v>3422223</v>
      </c>
      <c r="K128" s="31">
        <v>45837</v>
      </c>
      <c r="L128" s="3" t="s">
        <v>198</v>
      </c>
      <c r="M128" s="5"/>
      <c r="N128" s="5"/>
      <c r="O128" s="6"/>
      <c r="P128" s="6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4.25" customHeight="1" x14ac:dyDescent="0.35">
      <c r="A129" s="1"/>
      <c r="B129" s="29"/>
      <c r="C129" s="30"/>
      <c r="D129" s="29"/>
      <c r="E129" s="31"/>
      <c r="F129" s="32"/>
      <c r="G129" s="32"/>
      <c r="H129" s="30" t="s">
        <v>199</v>
      </c>
      <c r="I129" s="30" t="s">
        <v>14</v>
      </c>
      <c r="J129" s="35">
        <v>3442876</v>
      </c>
      <c r="K129" s="34" t="s">
        <v>200</v>
      </c>
      <c r="L129" s="3" t="s">
        <v>201</v>
      </c>
      <c r="M129" s="5"/>
      <c r="N129" s="5"/>
      <c r="O129" s="6"/>
      <c r="P129" s="6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4.25" customHeight="1" x14ac:dyDescent="0.35">
      <c r="A130" s="1"/>
      <c r="B130" s="29" t="s">
        <v>202</v>
      </c>
      <c r="C130" s="30" t="s">
        <v>203</v>
      </c>
      <c r="D130" s="29"/>
      <c r="E130" s="31"/>
      <c r="F130" s="32"/>
      <c r="G130" s="32"/>
      <c r="H130" s="30" t="s">
        <v>204</v>
      </c>
      <c r="I130" s="30" t="s">
        <v>205</v>
      </c>
      <c r="J130" s="35">
        <v>3382911</v>
      </c>
      <c r="K130" s="31">
        <v>45768</v>
      </c>
      <c r="L130" s="3"/>
      <c r="M130" s="5"/>
      <c r="N130" s="5"/>
      <c r="O130" s="6"/>
      <c r="P130" s="6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4.25" customHeight="1" x14ac:dyDescent="0.35">
      <c r="A131" s="1"/>
      <c r="B131" s="29"/>
      <c r="C131" s="29" t="s">
        <v>206</v>
      </c>
      <c r="D131" s="29" t="s">
        <v>207</v>
      </c>
      <c r="E131" s="35"/>
      <c r="F131" s="32">
        <v>117174.8</v>
      </c>
      <c r="G131" s="32">
        <f>((F131-3800)*1.5)+3800+11250</f>
        <v>185112.2</v>
      </c>
      <c r="H131" s="30" t="s">
        <v>208</v>
      </c>
      <c r="I131" s="30" t="s">
        <v>14</v>
      </c>
      <c r="J131" s="35">
        <v>3414049</v>
      </c>
      <c r="K131" s="31">
        <v>45823</v>
      </c>
      <c r="L131" s="3" t="s">
        <v>209</v>
      </c>
      <c r="M131" s="5"/>
      <c r="N131" s="5"/>
      <c r="O131" s="6"/>
      <c r="P131" s="6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4.25" customHeight="1" x14ac:dyDescent="0.35">
      <c r="A132" s="1"/>
      <c r="B132" s="29"/>
      <c r="C132" s="29" t="s">
        <v>210</v>
      </c>
      <c r="D132" s="29"/>
      <c r="E132" s="35"/>
      <c r="F132" s="32"/>
      <c r="G132" s="32"/>
      <c r="H132" s="30" t="s">
        <v>211</v>
      </c>
      <c r="I132" s="30" t="s">
        <v>212</v>
      </c>
      <c r="J132" s="35">
        <v>3434927</v>
      </c>
      <c r="K132" s="31">
        <v>45864</v>
      </c>
      <c r="L132" s="3"/>
      <c r="M132" s="5"/>
      <c r="N132" s="5"/>
      <c r="O132" s="6"/>
      <c r="P132" s="6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4.25" customHeight="1" x14ac:dyDescent="0.35">
      <c r="A133" s="1"/>
      <c r="B133" s="29"/>
      <c r="C133" s="29" t="s">
        <v>213</v>
      </c>
      <c r="D133" s="29"/>
      <c r="E133" s="35"/>
      <c r="F133" s="32"/>
      <c r="G133" s="32"/>
      <c r="H133" s="30" t="s">
        <v>214</v>
      </c>
      <c r="I133" s="30" t="s">
        <v>19</v>
      </c>
      <c r="J133" s="35">
        <v>3427044</v>
      </c>
      <c r="K133" s="31">
        <v>45847</v>
      </c>
      <c r="L133" s="3" t="s">
        <v>215</v>
      </c>
      <c r="M133" s="5"/>
      <c r="N133" s="5"/>
      <c r="O133" s="6"/>
      <c r="P133" s="6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4.25" customHeight="1" x14ac:dyDescent="0.35">
      <c r="A134" s="1"/>
      <c r="B134" s="29"/>
      <c r="C134" s="30" t="s">
        <v>216</v>
      </c>
      <c r="D134" s="29"/>
      <c r="E134" s="31"/>
      <c r="F134" s="32"/>
      <c r="G134" s="32"/>
      <c r="H134" s="29" t="s">
        <v>217</v>
      </c>
      <c r="I134" s="30" t="s">
        <v>36</v>
      </c>
      <c r="J134" s="30">
        <v>3414441</v>
      </c>
      <c r="K134" s="31">
        <v>45823</v>
      </c>
      <c r="L134" s="5"/>
      <c r="M134" s="5"/>
      <c r="N134" s="5"/>
      <c r="O134" s="6"/>
      <c r="P134" s="6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4.25" customHeight="1" x14ac:dyDescent="0.35">
      <c r="A135" s="1"/>
      <c r="B135" s="29"/>
      <c r="C135" s="29" t="s">
        <v>218</v>
      </c>
      <c r="D135" s="29"/>
      <c r="E135" s="35"/>
      <c r="F135" s="32"/>
      <c r="G135" s="32"/>
      <c r="H135" s="30" t="s">
        <v>219</v>
      </c>
      <c r="I135" s="30" t="s">
        <v>36</v>
      </c>
      <c r="J135" s="35"/>
      <c r="K135" s="31"/>
      <c r="L135" s="3" t="s">
        <v>220</v>
      </c>
      <c r="M135" s="5"/>
      <c r="N135" s="5"/>
      <c r="O135" s="6"/>
      <c r="P135" s="6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4.25" customHeight="1" x14ac:dyDescent="0.35">
      <c r="A136" s="1"/>
      <c r="B136" s="29"/>
      <c r="C136" s="29" t="s">
        <v>221</v>
      </c>
      <c r="D136" s="29" t="s">
        <v>222</v>
      </c>
      <c r="E136" s="33"/>
      <c r="F136" s="32" t="s">
        <v>223</v>
      </c>
      <c r="G136" s="32"/>
      <c r="H136" s="29" t="s">
        <v>224</v>
      </c>
      <c r="I136" s="30" t="s">
        <v>14</v>
      </c>
      <c r="J136" s="30">
        <v>3407852</v>
      </c>
      <c r="K136" s="34">
        <v>45814</v>
      </c>
      <c r="L136" s="3" t="s">
        <v>225</v>
      </c>
      <c r="M136" s="5"/>
      <c r="N136" s="5"/>
      <c r="O136" s="6"/>
      <c r="P136" s="6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4.25" customHeight="1" x14ac:dyDescent="0.35">
      <c r="A137" s="1"/>
      <c r="B137" s="29"/>
      <c r="C137" s="30"/>
      <c r="D137" s="29"/>
      <c r="E137" s="31"/>
      <c r="F137" s="32" t="s">
        <v>223</v>
      </c>
      <c r="G137" s="32"/>
      <c r="H137" s="29" t="s">
        <v>226</v>
      </c>
      <c r="I137" s="30" t="s">
        <v>14</v>
      </c>
      <c r="J137" s="30">
        <v>3404555</v>
      </c>
      <c r="K137" s="31">
        <v>45804</v>
      </c>
      <c r="L137" s="3" t="s">
        <v>227</v>
      </c>
      <c r="M137" s="5"/>
      <c r="N137" s="5"/>
      <c r="O137" s="6"/>
      <c r="P137" s="6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4.25" customHeight="1" x14ac:dyDescent="0.35">
      <c r="A138" s="1"/>
      <c r="B138" s="29" t="s">
        <v>228</v>
      </c>
      <c r="C138" s="30" t="s">
        <v>229</v>
      </c>
      <c r="D138" s="29"/>
      <c r="E138" s="31"/>
      <c r="F138" s="32"/>
      <c r="G138" s="32" t="s">
        <v>230</v>
      </c>
      <c r="H138" s="29" t="s">
        <v>231</v>
      </c>
      <c r="I138" s="30" t="s">
        <v>14</v>
      </c>
      <c r="J138" s="30">
        <v>3390013</v>
      </c>
      <c r="K138" s="31">
        <v>45782</v>
      </c>
      <c r="L138" s="3" t="s">
        <v>232</v>
      </c>
      <c r="M138" s="5"/>
      <c r="N138" s="5"/>
      <c r="O138" s="6"/>
      <c r="P138" s="6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4.25" customHeight="1" x14ac:dyDescent="0.35">
      <c r="A139" s="1"/>
      <c r="B139" s="29"/>
      <c r="C139" s="30" t="s">
        <v>233</v>
      </c>
      <c r="D139" s="29"/>
      <c r="E139" s="31"/>
      <c r="F139" s="32"/>
      <c r="G139" s="32" t="s">
        <v>230</v>
      </c>
      <c r="H139" s="29" t="s">
        <v>234</v>
      </c>
      <c r="I139" s="30" t="s">
        <v>14</v>
      </c>
      <c r="J139" s="30">
        <v>3386218</v>
      </c>
      <c r="K139" s="31">
        <v>45773</v>
      </c>
      <c r="L139" s="5" t="s">
        <v>235</v>
      </c>
      <c r="M139" s="5"/>
      <c r="N139" s="5"/>
      <c r="O139" s="6"/>
      <c r="P139" s="6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4.25" customHeight="1" x14ac:dyDescent="0.35">
      <c r="A140" s="1"/>
      <c r="B140" s="29" t="s">
        <v>236</v>
      </c>
      <c r="C140" s="30" t="s">
        <v>237</v>
      </c>
      <c r="D140" s="29"/>
      <c r="E140" s="31"/>
      <c r="F140" s="32"/>
      <c r="G140" s="32"/>
      <c r="H140" s="29" t="s">
        <v>238</v>
      </c>
      <c r="I140" s="30" t="s">
        <v>14</v>
      </c>
      <c r="J140" s="30">
        <v>3370020</v>
      </c>
      <c r="K140" s="31">
        <v>45752</v>
      </c>
      <c r="L140" s="3" t="s">
        <v>239</v>
      </c>
      <c r="M140" s="5"/>
      <c r="N140" s="5"/>
      <c r="O140" s="6"/>
      <c r="P140" s="6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4.25" customHeight="1" x14ac:dyDescent="0.35">
      <c r="A141" s="1"/>
      <c r="B141" s="29"/>
      <c r="C141" s="30" t="s">
        <v>240</v>
      </c>
      <c r="D141" s="29"/>
      <c r="E141" s="31"/>
      <c r="F141" s="32"/>
      <c r="G141" s="32"/>
      <c r="H141" s="29" t="s">
        <v>241</v>
      </c>
      <c r="I141" s="30" t="s">
        <v>14</v>
      </c>
      <c r="J141" s="30">
        <v>3272291</v>
      </c>
      <c r="K141" s="34">
        <v>45765</v>
      </c>
      <c r="L141" s="5" t="s">
        <v>242</v>
      </c>
      <c r="M141" s="5"/>
      <c r="N141" s="5"/>
      <c r="O141" s="6"/>
      <c r="P141" s="6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4.25" customHeight="1" x14ac:dyDescent="0.35">
      <c r="A142" s="1"/>
      <c r="B142" s="29"/>
      <c r="C142" s="30" t="s">
        <v>243</v>
      </c>
      <c r="D142" s="29"/>
      <c r="E142" s="31"/>
      <c r="F142" s="32"/>
      <c r="G142" s="32"/>
      <c r="H142" s="29" t="s">
        <v>244</v>
      </c>
      <c r="I142" s="30" t="s">
        <v>14</v>
      </c>
      <c r="J142" s="30">
        <v>3378812</v>
      </c>
      <c r="K142" s="31">
        <v>45761</v>
      </c>
      <c r="L142" s="5" t="s">
        <v>245</v>
      </c>
      <c r="M142" s="5"/>
      <c r="N142" s="5"/>
      <c r="O142" s="6"/>
      <c r="P142" s="6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4.25" customHeight="1" x14ac:dyDescent="0.35">
      <c r="A143" s="1"/>
      <c r="B143" s="29" t="s">
        <v>246</v>
      </c>
      <c r="C143" s="30" t="s">
        <v>247</v>
      </c>
      <c r="D143" s="29"/>
      <c r="E143" s="33"/>
      <c r="F143" s="32"/>
      <c r="G143" s="32"/>
      <c r="H143" s="29" t="s">
        <v>248</v>
      </c>
      <c r="I143" s="30" t="s">
        <v>249</v>
      </c>
      <c r="J143" s="30">
        <v>3359853</v>
      </c>
      <c r="K143" s="34" t="s">
        <v>113</v>
      </c>
      <c r="L143" s="3" t="s">
        <v>250</v>
      </c>
      <c r="M143" s="5"/>
      <c r="N143" s="5"/>
      <c r="O143" s="6"/>
      <c r="P143" s="7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4.25" customHeight="1" x14ac:dyDescent="0.35">
      <c r="A144" s="1"/>
      <c r="B144" s="29"/>
      <c r="C144" s="30" t="s">
        <v>251</v>
      </c>
      <c r="D144" s="29"/>
      <c r="E144" s="31"/>
      <c r="F144" s="32"/>
      <c r="G144" s="32"/>
      <c r="H144" s="29" t="s">
        <v>252</v>
      </c>
      <c r="I144" s="30" t="s">
        <v>36</v>
      </c>
      <c r="J144" s="30">
        <v>3401153</v>
      </c>
      <c r="K144" s="31">
        <v>45800</v>
      </c>
      <c r="L144" s="3"/>
      <c r="M144" s="5"/>
      <c r="N144" s="5"/>
      <c r="O144" s="6"/>
      <c r="P144" s="6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4.25" customHeight="1" x14ac:dyDescent="0.35">
      <c r="A145" s="1"/>
      <c r="B145" s="29"/>
      <c r="C145" s="30" t="s">
        <v>253</v>
      </c>
      <c r="D145" s="29"/>
      <c r="E145" s="31"/>
      <c r="F145" s="32"/>
      <c r="G145" s="32"/>
      <c r="H145" s="29" t="s">
        <v>254</v>
      </c>
      <c r="I145" s="30" t="s">
        <v>19</v>
      </c>
      <c r="J145" s="30">
        <v>3379665</v>
      </c>
      <c r="K145" s="31">
        <v>45765</v>
      </c>
      <c r="L145" s="3" t="s">
        <v>255</v>
      </c>
      <c r="M145" s="5"/>
      <c r="N145" s="5"/>
      <c r="O145" s="6"/>
      <c r="P145" s="6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4.25" customHeight="1" x14ac:dyDescent="0.35">
      <c r="A146" s="1"/>
      <c r="B146" s="29"/>
      <c r="C146" s="30" t="s">
        <v>256</v>
      </c>
      <c r="D146" s="29"/>
      <c r="E146" s="31"/>
      <c r="F146" s="32"/>
      <c r="G146" s="32"/>
      <c r="H146" s="29" t="s">
        <v>257</v>
      </c>
      <c r="I146" s="30" t="s">
        <v>14</v>
      </c>
      <c r="J146" s="30">
        <v>3394829</v>
      </c>
      <c r="K146" s="34" t="s">
        <v>113</v>
      </c>
      <c r="L146" s="5"/>
      <c r="M146" s="5"/>
      <c r="N146" s="5"/>
      <c r="O146" s="6"/>
      <c r="P146" s="6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4.25" customHeight="1" x14ac:dyDescent="0.35">
      <c r="A147" s="1"/>
      <c r="B147" s="29" t="s">
        <v>110</v>
      </c>
      <c r="C147" s="30" t="s">
        <v>258</v>
      </c>
      <c r="D147" s="29"/>
      <c r="E147" s="31"/>
      <c r="F147" s="32"/>
      <c r="G147" s="32"/>
      <c r="H147" s="29" t="s">
        <v>259</v>
      </c>
      <c r="I147" s="30" t="s">
        <v>19</v>
      </c>
      <c r="J147" s="30">
        <v>3379725</v>
      </c>
      <c r="K147" s="31">
        <v>45765</v>
      </c>
      <c r="L147" s="14" t="s">
        <v>260</v>
      </c>
      <c r="M147" s="5"/>
      <c r="N147" s="5"/>
      <c r="O147" s="6"/>
      <c r="P147" s="6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4.25" customHeight="1" x14ac:dyDescent="0.35">
      <c r="A148" s="1"/>
      <c r="B148" s="29"/>
      <c r="C148" s="30" t="s">
        <v>261</v>
      </c>
      <c r="D148" s="29"/>
      <c r="E148" s="31"/>
      <c r="F148" s="32"/>
      <c r="G148" s="32"/>
      <c r="H148" s="29" t="s">
        <v>262</v>
      </c>
      <c r="I148" s="30" t="s">
        <v>14</v>
      </c>
      <c r="J148" s="30">
        <v>3379250</v>
      </c>
      <c r="K148" s="34" t="s">
        <v>113</v>
      </c>
      <c r="L148" s="5" t="s">
        <v>263</v>
      </c>
      <c r="M148" s="5"/>
      <c r="N148" s="5"/>
      <c r="O148" s="6"/>
      <c r="P148" s="6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4.25" customHeight="1" x14ac:dyDescent="0.35">
      <c r="A149" s="1"/>
      <c r="B149" s="29" t="s">
        <v>264</v>
      </c>
      <c r="C149" s="30" t="s">
        <v>265</v>
      </c>
      <c r="D149" s="29"/>
      <c r="E149" s="33"/>
      <c r="F149" s="32"/>
      <c r="G149" s="32"/>
      <c r="H149" s="29" t="s">
        <v>266</v>
      </c>
      <c r="I149" s="30" t="s">
        <v>14</v>
      </c>
      <c r="J149" s="30">
        <v>3361726</v>
      </c>
      <c r="K149" s="34" t="s">
        <v>113</v>
      </c>
      <c r="L149" s="43" t="s">
        <v>267</v>
      </c>
      <c r="M149" s="5"/>
      <c r="N149" s="5"/>
      <c r="O149" s="6"/>
      <c r="P149" s="7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4.25" customHeight="1" x14ac:dyDescent="0.35">
      <c r="A150" s="1"/>
      <c r="B150" s="29"/>
      <c r="C150" s="30" t="s">
        <v>268</v>
      </c>
      <c r="D150" s="29"/>
      <c r="E150" s="33"/>
      <c r="F150" s="32"/>
      <c r="G150" s="32"/>
      <c r="H150" s="29" t="s">
        <v>269</v>
      </c>
      <c r="I150" s="30" t="s">
        <v>14</v>
      </c>
      <c r="J150" s="30"/>
      <c r="K150" s="31"/>
      <c r="L150" s="3" t="s">
        <v>270</v>
      </c>
      <c r="M150" s="5"/>
      <c r="N150" s="5"/>
      <c r="O150" s="6"/>
      <c r="P150" s="7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4.25" customHeight="1" x14ac:dyDescent="0.35">
      <c r="A151" s="1"/>
      <c r="B151" s="29" t="s">
        <v>271</v>
      </c>
      <c r="C151" s="30" t="s">
        <v>272</v>
      </c>
      <c r="D151" s="29"/>
      <c r="E151" s="33"/>
      <c r="F151" s="32"/>
      <c r="G151" s="32"/>
      <c r="H151" s="29" t="s">
        <v>273</v>
      </c>
      <c r="I151" s="30" t="s">
        <v>14</v>
      </c>
      <c r="J151" s="30">
        <v>3334478</v>
      </c>
      <c r="K151" s="34">
        <v>45653</v>
      </c>
      <c r="L151" s="3" t="s">
        <v>274</v>
      </c>
      <c r="M151" s="5"/>
      <c r="N151" s="5"/>
      <c r="O151" s="6"/>
      <c r="P151" s="7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4.25" customHeight="1" x14ac:dyDescent="0.35">
      <c r="A152" s="1"/>
      <c r="B152" s="29"/>
      <c r="C152" s="30" t="s">
        <v>275</v>
      </c>
      <c r="D152" s="29"/>
      <c r="E152" s="31"/>
      <c r="F152" s="32"/>
      <c r="G152" s="32"/>
      <c r="H152" s="29" t="s">
        <v>276</v>
      </c>
      <c r="I152" s="30" t="s">
        <v>14</v>
      </c>
      <c r="J152" s="30">
        <v>3365364</v>
      </c>
      <c r="K152" s="34" t="s">
        <v>113</v>
      </c>
      <c r="L152" s="3" t="s">
        <v>277</v>
      </c>
      <c r="M152" s="5"/>
      <c r="N152" s="5"/>
      <c r="O152" s="6"/>
      <c r="P152" s="6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4.25" customHeight="1" x14ac:dyDescent="0.35">
      <c r="A153" s="1"/>
      <c r="B153" s="29"/>
      <c r="C153" s="30" t="s">
        <v>278</v>
      </c>
      <c r="D153" s="29"/>
      <c r="E153" s="31"/>
      <c r="F153" s="32"/>
      <c r="G153" s="32"/>
      <c r="H153" s="29" t="s">
        <v>279</v>
      </c>
      <c r="I153" s="30" t="s">
        <v>14</v>
      </c>
      <c r="J153" s="30">
        <v>3365793</v>
      </c>
      <c r="K153" s="34" t="s">
        <v>113</v>
      </c>
      <c r="L153" s="3" t="s">
        <v>280</v>
      </c>
      <c r="M153" s="5"/>
      <c r="N153" s="5"/>
      <c r="O153" s="6"/>
      <c r="P153" s="6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4.25" customHeight="1" x14ac:dyDescent="0.35">
      <c r="A154" s="1"/>
      <c r="B154" s="29"/>
      <c r="C154" s="30" t="s">
        <v>281</v>
      </c>
      <c r="D154" s="29"/>
      <c r="E154" s="31"/>
      <c r="F154" s="32"/>
      <c r="G154" s="32"/>
      <c r="H154" s="29" t="s">
        <v>282</v>
      </c>
      <c r="I154" s="30" t="s">
        <v>14</v>
      </c>
      <c r="J154" s="30">
        <v>3375202</v>
      </c>
      <c r="K154" s="34" t="s">
        <v>113</v>
      </c>
      <c r="L154" s="5" t="s">
        <v>283</v>
      </c>
      <c r="M154" s="5"/>
      <c r="N154" s="5"/>
      <c r="O154" s="6"/>
      <c r="P154" s="6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4.25" customHeight="1" x14ac:dyDescent="0.35">
      <c r="A155" s="1"/>
      <c r="B155" s="29" t="s">
        <v>284</v>
      </c>
      <c r="C155" s="30" t="s">
        <v>285</v>
      </c>
      <c r="D155" s="29"/>
      <c r="E155" s="31"/>
      <c r="F155" s="32"/>
      <c r="G155" s="32"/>
      <c r="H155" s="29" t="s">
        <v>286</v>
      </c>
      <c r="I155" s="30" t="s">
        <v>14</v>
      </c>
      <c r="J155" s="30">
        <v>3378466</v>
      </c>
      <c r="K155" s="31">
        <v>45761</v>
      </c>
      <c r="L155" s="5" t="s">
        <v>245</v>
      </c>
      <c r="M155" s="5"/>
      <c r="N155" s="5"/>
      <c r="O155" s="6"/>
      <c r="P155" s="6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4.25" customHeight="1" x14ac:dyDescent="0.35">
      <c r="A156" s="1"/>
      <c r="B156" s="29"/>
      <c r="C156" s="30" t="s">
        <v>287</v>
      </c>
      <c r="D156" s="29"/>
      <c r="E156" s="31"/>
      <c r="F156" s="32"/>
      <c r="G156" s="32"/>
      <c r="H156" s="29" t="s">
        <v>288</v>
      </c>
      <c r="I156" s="30" t="s">
        <v>14</v>
      </c>
      <c r="J156" s="30">
        <v>3351885</v>
      </c>
      <c r="K156" s="34" t="s">
        <v>113</v>
      </c>
      <c r="L156" s="5" t="s">
        <v>289</v>
      </c>
      <c r="M156" s="5"/>
      <c r="N156" s="5"/>
      <c r="O156" s="6"/>
      <c r="P156" s="6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4.25" customHeight="1" x14ac:dyDescent="0.35">
      <c r="A157" s="1"/>
      <c r="B157" s="29"/>
      <c r="C157" s="30" t="s">
        <v>290</v>
      </c>
      <c r="D157" s="29"/>
      <c r="E157" s="33"/>
      <c r="F157" s="32" t="s">
        <v>291</v>
      </c>
      <c r="G157" s="32"/>
      <c r="H157" s="29" t="s">
        <v>292</v>
      </c>
      <c r="I157" s="30" t="s">
        <v>36</v>
      </c>
      <c r="J157" s="30">
        <v>3359350</v>
      </c>
      <c r="K157" s="34" t="s">
        <v>113</v>
      </c>
      <c r="L157" s="3" t="s">
        <v>293</v>
      </c>
      <c r="M157" s="5"/>
      <c r="N157" s="5"/>
      <c r="O157" s="6"/>
      <c r="P157" s="7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4.25" customHeight="1" x14ac:dyDescent="0.35">
      <c r="A158" s="1"/>
      <c r="B158" s="29" t="s">
        <v>293</v>
      </c>
      <c r="C158" s="30" t="s">
        <v>294</v>
      </c>
      <c r="D158" s="29"/>
      <c r="E158" s="33"/>
      <c r="F158" s="32"/>
      <c r="G158" s="32"/>
      <c r="H158" s="29" t="s">
        <v>295</v>
      </c>
      <c r="I158" s="30" t="s">
        <v>14</v>
      </c>
      <c r="J158" s="30">
        <v>3361958</v>
      </c>
      <c r="K158" s="31">
        <v>45725</v>
      </c>
      <c r="L158" s="3" t="s">
        <v>296</v>
      </c>
      <c r="M158" s="5" t="s">
        <v>297</v>
      </c>
      <c r="N158" s="5"/>
      <c r="O158" s="6"/>
      <c r="P158" s="7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4.25" customHeight="1" x14ac:dyDescent="0.35">
      <c r="A159" s="1"/>
      <c r="B159" s="29"/>
      <c r="C159" s="30" t="s">
        <v>298</v>
      </c>
      <c r="D159" s="29"/>
      <c r="E159" s="31"/>
      <c r="F159" s="32"/>
      <c r="G159" s="32"/>
      <c r="H159" s="30" t="s">
        <v>299</v>
      </c>
      <c r="I159" s="30" t="s">
        <v>19</v>
      </c>
      <c r="J159" s="35" t="s">
        <v>300</v>
      </c>
      <c r="K159" s="31"/>
      <c r="L159" s="3" t="s">
        <v>301</v>
      </c>
      <c r="M159" s="5"/>
      <c r="N159" s="5"/>
      <c r="O159" s="6"/>
      <c r="P159" s="6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4.25" customHeight="1" x14ac:dyDescent="0.35">
      <c r="A160" s="1"/>
      <c r="B160" s="29"/>
      <c r="C160" s="30" t="s">
        <v>302</v>
      </c>
      <c r="D160" s="29"/>
      <c r="E160" s="31"/>
      <c r="F160" s="32"/>
      <c r="G160" s="32"/>
      <c r="H160" s="29" t="s">
        <v>303</v>
      </c>
      <c r="I160" s="30" t="s">
        <v>14</v>
      </c>
      <c r="J160" s="30">
        <v>3362677</v>
      </c>
      <c r="K160" s="31">
        <v>45727</v>
      </c>
      <c r="L160" s="3" t="s">
        <v>304</v>
      </c>
      <c r="M160" s="5"/>
      <c r="N160" s="5"/>
      <c r="O160" s="6"/>
      <c r="P160" s="6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4.25" customHeight="1" x14ac:dyDescent="0.35">
      <c r="A161" s="1"/>
      <c r="B161" s="1"/>
      <c r="C161" s="18"/>
      <c r="D161" s="18"/>
      <c r="E161" s="5" t="s">
        <v>305</v>
      </c>
      <c r="F161" s="18"/>
      <c r="G161" s="18"/>
      <c r="H161" s="13" t="s">
        <v>306</v>
      </c>
      <c r="I161" s="14" t="s">
        <v>14</v>
      </c>
      <c r="J161" s="14">
        <v>3362642</v>
      </c>
      <c r="K161" s="15">
        <v>45727</v>
      </c>
      <c r="L161" s="44" t="s">
        <v>307</v>
      </c>
      <c r="M161" s="5"/>
      <c r="N161" s="5"/>
      <c r="O161" s="6"/>
      <c r="P161" s="7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4.25" customHeight="1" x14ac:dyDescent="0.35">
      <c r="A162" s="1"/>
      <c r="B162" s="29" t="s">
        <v>308</v>
      </c>
      <c r="C162" s="30" t="s">
        <v>309</v>
      </c>
      <c r="D162" s="29"/>
      <c r="E162" s="33"/>
      <c r="F162" s="32"/>
      <c r="G162" s="32"/>
      <c r="H162" s="30" t="s">
        <v>310</v>
      </c>
      <c r="I162" s="29" t="s">
        <v>14</v>
      </c>
      <c r="J162" s="30">
        <v>3278494</v>
      </c>
      <c r="K162" s="31">
        <v>45698</v>
      </c>
      <c r="L162" s="3" t="s">
        <v>311</v>
      </c>
      <c r="M162" s="5"/>
      <c r="N162" s="5"/>
      <c r="O162" s="6"/>
      <c r="P162" s="6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4.25" customHeight="1" x14ac:dyDescent="0.35">
      <c r="A163" s="1"/>
      <c r="B163" s="29" t="s">
        <v>312</v>
      </c>
      <c r="C163" s="30" t="s">
        <v>313</v>
      </c>
      <c r="D163" s="29"/>
      <c r="E163" s="33"/>
      <c r="F163" s="32"/>
      <c r="G163" s="32"/>
      <c r="H163" s="29" t="s">
        <v>314</v>
      </c>
      <c r="I163" s="30" t="s">
        <v>14</v>
      </c>
      <c r="J163" s="30">
        <v>3348988</v>
      </c>
      <c r="K163" s="31">
        <v>45691</v>
      </c>
      <c r="L163" s="3" t="s">
        <v>315</v>
      </c>
      <c r="M163" s="5"/>
      <c r="N163" s="5"/>
      <c r="O163" s="6"/>
      <c r="P163" s="6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4.25" customHeight="1" x14ac:dyDescent="0.35">
      <c r="A164" s="1"/>
      <c r="B164" s="29"/>
      <c r="C164" s="30" t="s">
        <v>316</v>
      </c>
      <c r="D164" s="29"/>
      <c r="E164" s="31"/>
      <c r="F164" s="32"/>
      <c r="G164" s="32"/>
      <c r="H164" s="29" t="s">
        <v>317</v>
      </c>
      <c r="I164" s="30" t="s">
        <v>14</v>
      </c>
      <c r="J164" s="30">
        <v>3370542</v>
      </c>
      <c r="K164" s="31">
        <v>45745</v>
      </c>
      <c r="L164" s="3" t="s">
        <v>318</v>
      </c>
      <c r="M164" s="5"/>
      <c r="N164" s="5"/>
      <c r="O164" s="6"/>
      <c r="P164" s="6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4.25" customHeight="1" x14ac:dyDescent="0.35">
      <c r="A165" s="1"/>
      <c r="B165" s="29"/>
      <c r="C165" s="30" t="s">
        <v>319</v>
      </c>
      <c r="D165" s="29"/>
      <c r="E165" s="31"/>
      <c r="F165" s="32"/>
      <c r="G165" s="32"/>
      <c r="H165" s="29" t="s">
        <v>320</v>
      </c>
      <c r="I165" s="30" t="s">
        <v>36</v>
      </c>
      <c r="J165" s="30">
        <v>3336593</v>
      </c>
      <c r="K165" s="34">
        <v>45660</v>
      </c>
      <c r="L165" s="5"/>
      <c r="M165" s="5"/>
      <c r="N165" s="5"/>
      <c r="O165" s="6"/>
      <c r="P165" s="6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4.25" customHeight="1" x14ac:dyDescent="0.35">
      <c r="A166" s="1"/>
      <c r="B166" s="1"/>
      <c r="C166" s="5" t="s">
        <v>321</v>
      </c>
      <c r="D166" s="18"/>
      <c r="E166" s="18"/>
      <c r="F166" s="23" t="s">
        <v>322</v>
      </c>
      <c r="G166" s="18"/>
      <c r="H166" s="14" t="s">
        <v>323</v>
      </c>
      <c r="I166" s="13" t="s">
        <v>14</v>
      </c>
      <c r="J166" s="19">
        <v>3351885</v>
      </c>
      <c r="K166" s="15">
        <v>45696</v>
      </c>
      <c r="L166" s="3" t="s">
        <v>324</v>
      </c>
      <c r="M166" s="5"/>
      <c r="N166" s="5"/>
      <c r="O166" s="6"/>
      <c r="P166" s="7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4.25" customHeight="1" x14ac:dyDescent="0.35">
      <c r="A167" s="1"/>
      <c r="B167" s="3"/>
      <c r="C167" s="5"/>
      <c r="D167" s="5"/>
      <c r="E167" s="45"/>
      <c r="F167" s="46" t="s">
        <v>325</v>
      </c>
      <c r="G167" s="6"/>
      <c r="H167" s="14" t="s">
        <v>326</v>
      </c>
      <c r="I167" s="14" t="s">
        <v>14</v>
      </c>
      <c r="J167" s="19">
        <v>3314934</v>
      </c>
      <c r="K167" s="47"/>
      <c r="L167" s="3"/>
      <c r="M167" s="5"/>
      <c r="N167" s="5"/>
      <c r="O167" s="6"/>
      <c r="P167" s="7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4.25" customHeight="1" x14ac:dyDescent="0.35">
      <c r="A168" s="1"/>
      <c r="B168" s="3"/>
      <c r="C168" s="5"/>
      <c r="D168" s="5"/>
      <c r="E168" s="45"/>
      <c r="F168" s="46" t="s">
        <v>327</v>
      </c>
      <c r="G168" s="6"/>
      <c r="H168" s="14" t="s">
        <v>328</v>
      </c>
      <c r="I168" s="14" t="s">
        <v>14</v>
      </c>
      <c r="J168" s="19">
        <v>3314818</v>
      </c>
      <c r="K168" s="47" t="s">
        <v>329</v>
      </c>
      <c r="L168" s="3"/>
      <c r="M168" s="5"/>
      <c r="N168" s="5"/>
      <c r="O168" s="6"/>
      <c r="P168" s="7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4.25" customHeight="1" x14ac:dyDescent="0.35">
      <c r="A169" s="1"/>
      <c r="B169" s="3"/>
      <c r="C169" s="5"/>
      <c r="D169" s="5"/>
      <c r="E169" s="2"/>
      <c r="F169" s="24" t="s">
        <v>330</v>
      </c>
      <c r="G169" s="6"/>
      <c r="H169" s="14" t="s">
        <v>331</v>
      </c>
      <c r="I169" s="14" t="s">
        <v>332</v>
      </c>
      <c r="J169" s="19">
        <v>3312708</v>
      </c>
      <c r="K169" s="47"/>
      <c r="L169" s="3" t="s">
        <v>333</v>
      </c>
      <c r="M169" s="5"/>
      <c r="N169" s="5"/>
      <c r="O169" s="6"/>
      <c r="P169" s="7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4.25" customHeight="1" x14ac:dyDescent="0.35">
      <c r="A170" s="1"/>
      <c r="B170" s="3"/>
      <c r="C170" s="5"/>
      <c r="D170" s="5"/>
      <c r="E170" s="2"/>
      <c r="F170" s="24"/>
      <c r="G170" s="6"/>
      <c r="H170" s="14" t="s">
        <v>334</v>
      </c>
      <c r="I170" s="14" t="s">
        <v>332</v>
      </c>
      <c r="J170" s="19">
        <v>3307469</v>
      </c>
      <c r="K170" s="47"/>
      <c r="L170" s="3"/>
      <c r="M170" s="5"/>
      <c r="N170" s="5"/>
      <c r="O170" s="6"/>
      <c r="P170" s="7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4.25" customHeight="1" x14ac:dyDescent="0.35">
      <c r="A171" s="1"/>
      <c r="B171" s="3"/>
      <c r="C171" s="5"/>
      <c r="D171" s="5"/>
      <c r="E171" s="2"/>
      <c r="F171" s="24" t="s">
        <v>335</v>
      </c>
      <c r="G171" s="6"/>
      <c r="H171" s="14" t="s">
        <v>336</v>
      </c>
      <c r="I171" s="14" t="s">
        <v>36</v>
      </c>
      <c r="J171" s="19">
        <v>3306337</v>
      </c>
      <c r="K171" s="47">
        <v>45585</v>
      </c>
      <c r="L171" s="3" t="s">
        <v>337</v>
      </c>
      <c r="M171" s="5"/>
      <c r="N171" s="5"/>
      <c r="O171" s="6"/>
      <c r="P171" s="7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25" customHeight="1" x14ac:dyDescent="0.35">
      <c r="A172" s="1"/>
      <c r="B172" s="3"/>
      <c r="C172" s="5"/>
      <c r="D172" s="5"/>
      <c r="E172" s="2"/>
      <c r="F172" s="24" t="s">
        <v>338</v>
      </c>
      <c r="G172" s="6"/>
      <c r="H172" s="14" t="s">
        <v>339</v>
      </c>
      <c r="I172" s="14"/>
      <c r="J172" s="19">
        <v>3304948</v>
      </c>
      <c r="K172" s="47"/>
      <c r="L172" s="3"/>
      <c r="M172" s="5"/>
      <c r="N172" s="5"/>
      <c r="O172" s="6"/>
      <c r="P172" s="7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4.25" customHeight="1" x14ac:dyDescent="0.35">
      <c r="A173" s="1"/>
      <c r="B173" s="3"/>
      <c r="C173" s="5"/>
      <c r="D173" s="5"/>
      <c r="E173" s="2"/>
      <c r="F173" s="24"/>
      <c r="G173" s="6"/>
      <c r="H173" s="14" t="s">
        <v>340</v>
      </c>
      <c r="I173" s="14" t="s">
        <v>341</v>
      </c>
      <c r="J173" s="19">
        <v>3298469</v>
      </c>
      <c r="K173" s="47"/>
      <c r="L173" s="3"/>
      <c r="M173" s="5"/>
      <c r="N173" s="5"/>
      <c r="O173" s="6"/>
      <c r="P173" s="7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4.25" customHeight="1" x14ac:dyDescent="0.35">
      <c r="A174" s="1"/>
      <c r="B174" s="3"/>
      <c r="C174" s="5"/>
      <c r="D174" s="5"/>
      <c r="E174" s="2"/>
      <c r="F174" s="24" t="s">
        <v>342</v>
      </c>
      <c r="G174" s="6"/>
      <c r="H174" s="14" t="s">
        <v>343</v>
      </c>
      <c r="I174" s="14" t="s">
        <v>14</v>
      </c>
      <c r="J174" s="19">
        <v>3292433</v>
      </c>
      <c r="K174" s="47"/>
      <c r="L174" s="3" t="s">
        <v>344</v>
      </c>
      <c r="M174" s="5"/>
      <c r="N174" s="5"/>
      <c r="O174" s="6"/>
      <c r="P174" s="7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4.25" customHeight="1" x14ac:dyDescent="0.35">
      <c r="A175" s="1"/>
      <c r="B175" s="3"/>
      <c r="C175" s="5"/>
      <c r="D175" s="5"/>
      <c r="E175" s="2"/>
      <c r="F175" s="24" t="s">
        <v>345</v>
      </c>
      <c r="G175" s="6"/>
      <c r="H175" s="14" t="s">
        <v>346</v>
      </c>
      <c r="I175" s="14" t="s">
        <v>14</v>
      </c>
      <c r="J175" s="19">
        <v>3291555</v>
      </c>
      <c r="K175" s="47"/>
      <c r="L175" s="3"/>
      <c r="M175" s="5"/>
      <c r="N175" s="5"/>
      <c r="O175" s="6"/>
      <c r="P175" s="7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4.25" customHeight="1" x14ac:dyDescent="0.35">
      <c r="A176" s="1"/>
      <c r="B176" s="3"/>
      <c r="C176" s="5"/>
      <c r="D176" s="5"/>
      <c r="E176" s="2"/>
      <c r="F176" s="24" t="s">
        <v>347</v>
      </c>
      <c r="G176" s="6"/>
      <c r="H176" s="14" t="s">
        <v>348</v>
      </c>
      <c r="I176" s="14" t="s">
        <v>14</v>
      </c>
      <c r="J176" s="19">
        <v>3275735</v>
      </c>
      <c r="K176" s="47"/>
      <c r="L176" s="3" t="s">
        <v>349</v>
      </c>
      <c r="M176" s="5"/>
      <c r="N176" s="5"/>
      <c r="O176" s="6"/>
      <c r="P176" s="7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4.25" customHeight="1" x14ac:dyDescent="0.35">
      <c r="A177" s="1"/>
      <c r="B177" s="3"/>
      <c r="C177" s="5"/>
      <c r="D177" s="5"/>
      <c r="E177" s="2"/>
      <c r="F177" s="24"/>
      <c r="G177" s="6"/>
      <c r="H177" s="14" t="s">
        <v>350</v>
      </c>
      <c r="I177" s="14" t="s">
        <v>14</v>
      </c>
      <c r="J177" s="19">
        <v>3278286</v>
      </c>
      <c r="K177" s="47"/>
      <c r="L177" s="3"/>
      <c r="M177" s="5"/>
      <c r="N177" s="5"/>
      <c r="O177" s="6"/>
      <c r="P177" s="7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4.25" customHeight="1" x14ac:dyDescent="0.35">
      <c r="A178" s="1"/>
      <c r="B178" s="3"/>
      <c r="C178" s="5"/>
      <c r="D178" s="5"/>
      <c r="E178" s="2"/>
      <c r="F178" s="24"/>
      <c r="G178" s="6"/>
      <c r="H178" s="14" t="s">
        <v>351</v>
      </c>
      <c r="I178" s="14" t="s">
        <v>14</v>
      </c>
      <c r="J178" s="19">
        <v>3279503</v>
      </c>
      <c r="K178" s="47"/>
      <c r="L178" s="3"/>
      <c r="M178" s="5"/>
      <c r="N178" s="5"/>
      <c r="O178" s="6"/>
      <c r="P178" s="7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4.25" customHeight="1" x14ac:dyDescent="0.35">
      <c r="A179" s="1"/>
      <c r="B179" s="3"/>
      <c r="C179" s="5"/>
      <c r="D179" s="5"/>
      <c r="E179" s="2"/>
      <c r="F179" s="24" t="s">
        <v>352</v>
      </c>
      <c r="G179" s="6"/>
      <c r="H179" s="14" t="s">
        <v>353</v>
      </c>
      <c r="I179" s="14" t="s">
        <v>14</v>
      </c>
      <c r="J179" s="14">
        <v>3268233</v>
      </c>
      <c r="K179" s="15" t="s">
        <v>149</v>
      </c>
      <c r="L179" s="3" t="s">
        <v>354</v>
      </c>
      <c r="M179" s="5"/>
      <c r="N179" s="5"/>
      <c r="O179" s="6"/>
      <c r="P179" s="7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4.25" customHeight="1" x14ac:dyDescent="0.35">
      <c r="A180" s="1"/>
      <c r="B180" s="3"/>
      <c r="C180" s="5"/>
      <c r="D180" s="5"/>
      <c r="E180" s="2"/>
      <c r="F180" s="24"/>
      <c r="G180" s="6"/>
      <c r="H180" s="14" t="s">
        <v>355</v>
      </c>
      <c r="I180" s="14" t="s">
        <v>14</v>
      </c>
      <c r="J180" s="19">
        <v>3252534</v>
      </c>
      <c r="K180" s="47">
        <v>45479</v>
      </c>
      <c r="L180" s="3" t="s">
        <v>356</v>
      </c>
      <c r="M180" s="5"/>
      <c r="N180" s="5"/>
      <c r="O180" s="6"/>
      <c r="P180" s="7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4.25" customHeight="1" x14ac:dyDescent="0.35">
      <c r="A181" s="1"/>
      <c r="B181" s="3"/>
      <c r="C181" s="5"/>
      <c r="D181" s="5"/>
      <c r="E181" s="2"/>
      <c r="F181" s="24"/>
      <c r="G181" s="6"/>
      <c r="H181" s="14" t="s">
        <v>357</v>
      </c>
      <c r="I181" s="14" t="s">
        <v>14</v>
      </c>
      <c r="J181" s="19">
        <v>3272833</v>
      </c>
      <c r="K181" s="47">
        <v>45516</v>
      </c>
      <c r="L181" s="3" t="s">
        <v>358</v>
      </c>
      <c r="M181" s="5"/>
      <c r="N181" s="5"/>
      <c r="O181" s="6"/>
      <c r="P181" s="7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4.25" customHeight="1" x14ac:dyDescent="0.35">
      <c r="A182" s="1"/>
      <c r="B182" s="3"/>
      <c r="C182" s="5"/>
      <c r="D182" s="5"/>
      <c r="E182" s="2"/>
      <c r="F182" s="24" t="s">
        <v>359</v>
      </c>
      <c r="G182" s="6"/>
      <c r="H182" s="14" t="s">
        <v>360</v>
      </c>
      <c r="I182" s="14" t="s">
        <v>14</v>
      </c>
      <c r="J182" s="19">
        <v>3270824</v>
      </c>
      <c r="K182" s="47">
        <v>45513</v>
      </c>
      <c r="L182" s="3" t="s">
        <v>361</v>
      </c>
      <c r="M182" s="5"/>
      <c r="N182" s="5"/>
      <c r="O182" s="6"/>
      <c r="P182" s="7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4.25" customHeight="1" x14ac:dyDescent="0.35">
      <c r="A183" s="1"/>
      <c r="B183" s="3"/>
      <c r="C183" s="5"/>
      <c r="D183" s="5"/>
      <c r="E183" s="23"/>
      <c r="F183" s="48" t="s">
        <v>362</v>
      </c>
      <c r="G183" s="6"/>
      <c r="H183" s="14" t="s">
        <v>363</v>
      </c>
      <c r="I183" s="14" t="s">
        <v>14</v>
      </c>
      <c r="J183" s="49">
        <v>3260432</v>
      </c>
      <c r="K183" s="50" t="s">
        <v>364</v>
      </c>
      <c r="L183" s="3" t="s">
        <v>365</v>
      </c>
      <c r="M183" s="5"/>
      <c r="N183" s="5"/>
      <c r="O183" s="6"/>
      <c r="P183" s="7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4.25" customHeight="1" x14ac:dyDescent="0.35">
      <c r="A184" s="1"/>
      <c r="B184" s="3"/>
      <c r="C184" s="5"/>
      <c r="D184" s="5"/>
      <c r="E184" s="23"/>
      <c r="F184" s="48" t="s">
        <v>366</v>
      </c>
      <c r="G184" s="6"/>
      <c r="H184" s="14" t="s">
        <v>367</v>
      </c>
      <c r="I184" s="14" t="s">
        <v>14</v>
      </c>
      <c r="J184" s="49">
        <v>3214984</v>
      </c>
      <c r="K184" s="50"/>
      <c r="L184" s="5" t="s">
        <v>368</v>
      </c>
      <c r="M184" s="5"/>
      <c r="N184" s="5"/>
      <c r="O184" s="6"/>
      <c r="P184" s="7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4.25" customHeight="1" x14ac:dyDescent="0.35">
      <c r="A185" s="1"/>
      <c r="B185" s="3"/>
      <c r="C185" s="5"/>
      <c r="D185" s="5"/>
      <c r="E185" s="23"/>
      <c r="F185" s="48" t="s">
        <v>369</v>
      </c>
      <c r="G185" s="6"/>
      <c r="H185" s="14" t="s">
        <v>370</v>
      </c>
      <c r="I185" s="14" t="s">
        <v>14</v>
      </c>
      <c r="J185" s="49">
        <v>3220837</v>
      </c>
      <c r="K185" s="50"/>
      <c r="L185" s="5" t="s">
        <v>371</v>
      </c>
      <c r="M185" s="5"/>
      <c r="N185" s="5"/>
      <c r="O185" s="6"/>
      <c r="P185" s="7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4.25" customHeight="1" x14ac:dyDescent="0.35">
      <c r="A186" s="1"/>
      <c r="B186" s="3"/>
      <c r="C186" s="5"/>
      <c r="D186" s="5"/>
      <c r="E186" s="23"/>
      <c r="F186" s="48" t="s">
        <v>372</v>
      </c>
      <c r="G186" s="6"/>
      <c r="H186" s="14" t="s">
        <v>373</v>
      </c>
      <c r="I186" s="14" t="s">
        <v>14</v>
      </c>
      <c r="J186" s="49">
        <v>3237820</v>
      </c>
      <c r="K186" s="50"/>
      <c r="L186" s="5" t="s">
        <v>374</v>
      </c>
      <c r="M186" s="5"/>
      <c r="N186" s="5"/>
      <c r="O186" s="6"/>
      <c r="P186" s="7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4.25" customHeight="1" x14ac:dyDescent="0.35">
      <c r="A187" s="1"/>
      <c r="B187" s="3"/>
      <c r="C187" s="5"/>
      <c r="D187" s="5"/>
      <c r="E187" s="23"/>
      <c r="F187" s="48" t="s">
        <v>375</v>
      </c>
      <c r="G187" s="6"/>
      <c r="H187" s="14" t="s">
        <v>376</v>
      </c>
      <c r="I187" s="14" t="s">
        <v>14</v>
      </c>
      <c r="J187" s="49">
        <v>3228353</v>
      </c>
      <c r="K187" s="50"/>
      <c r="L187" s="5" t="s">
        <v>374</v>
      </c>
      <c r="M187" s="5"/>
      <c r="N187" s="5"/>
      <c r="O187" s="6"/>
      <c r="P187" s="7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4.25" customHeight="1" x14ac:dyDescent="0.35">
      <c r="A188" s="1"/>
      <c r="B188" s="3"/>
      <c r="C188" s="5"/>
      <c r="D188" s="5"/>
      <c r="E188" s="23"/>
      <c r="F188" s="48" t="s">
        <v>377</v>
      </c>
      <c r="G188" s="6"/>
      <c r="H188" s="14" t="s">
        <v>378</v>
      </c>
      <c r="I188" s="14" t="s">
        <v>14</v>
      </c>
      <c r="J188" s="49">
        <v>3183200</v>
      </c>
      <c r="K188" s="51">
        <v>45342</v>
      </c>
      <c r="L188" s="3" t="s">
        <v>379</v>
      </c>
      <c r="M188" s="5"/>
      <c r="N188" s="5"/>
      <c r="O188" s="6"/>
      <c r="P188" s="7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4.25" customHeight="1" x14ac:dyDescent="0.35">
      <c r="A189" s="1"/>
      <c r="B189" s="3"/>
      <c r="C189" s="5"/>
      <c r="D189" s="5"/>
      <c r="E189" s="23"/>
      <c r="F189" s="48" t="s">
        <v>380</v>
      </c>
      <c r="G189" s="6"/>
      <c r="H189" s="14" t="s">
        <v>381</v>
      </c>
      <c r="I189" s="14" t="s">
        <v>14</v>
      </c>
      <c r="J189" s="14">
        <v>3209222</v>
      </c>
      <c r="K189" s="34">
        <v>45397</v>
      </c>
      <c r="L189" s="5" t="s">
        <v>382</v>
      </c>
      <c r="M189" s="5"/>
      <c r="N189" s="5"/>
      <c r="O189" s="6"/>
      <c r="P189" s="7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4.25" customHeight="1" x14ac:dyDescent="0.35">
      <c r="A190" s="1"/>
      <c r="B190" s="3"/>
      <c r="C190" s="5"/>
      <c r="D190" s="5"/>
      <c r="E190" s="23"/>
      <c r="F190" s="48" t="s">
        <v>383</v>
      </c>
      <c r="G190" s="6"/>
      <c r="H190" s="14" t="s">
        <v>384</v>
      </c>
      <c r="I190" s="14" t="s">
        <v>14</v>
      </c>
      <c r="J190" s="49">
        <v>3212582</v>
      </c>
      <c r="K190" s="50"/>
      <c r="L190" s="5" t="s">
        <v>385</v>
      </c>
      <c r="M190" s="5"/>
      <c r="N190" s="5"/>
      <c r="O190" s="6"/>
      <c r="P190" s="7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4.25" customHeight="1" x14ac:dyDescent="0.35">
      <c r="A191" s="1"/>
      <c r="B191" s="3"/>
      <c r="C191" s="5"/>
      <c r="D191" s="5"/>
      <c r="E191" s="18"/>
      <c r="F191" s="23" t="s">
        <v>386</v>
      </c>
      <c r="G191" s="6"/>
      <c r="H191" s="14" t="s">
        <v>387</v>
      </c>
      <c r="I191" s="13" t="s">
        <v>14</v>
      </c>
      <c r="J191" s="19">
        <v>3116003</v>
      </c>
      <c r="K191" s="36">
        <v>45363</v>
      </c>
      <c r="L191" s="3" t="s">
        <v>388</v>
      </c>
      <c r="M191" s="5"/>
      <c r="N191" s="18"/>
      <c r="O191" s="6"/>
      <c r="P191" s="7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4.25" customHeight="1" x14ac:dyDescent="0.35">
      <c r="A192" s="1"/>
      <c r="B192" s="3"/>
      <c r="C192" s="5"/>
      <c r="D192" s="5"/>
      <c r="E192" s="18"/>
      <c r="F192" s="23" t="s">
        <v>389</v>
      </c>
      <c r="G192" s="6"/>
      <c r="H192" s="14" t="s">
        <v>390</v>
      </c>
      <c r="I192" s="13" t="s">
        <v>14</v>
      </c>
      <c r="J192" s="19">
        <v>3183798</v>
      </c>
      <c r="K192" s="36">
        <v>45339</v>
      </c>
      <c r="L192" s="3" t="s">
        <v>391</v>
      </c>
      <c r="M192" s="5"/>
      <c r="N192" s="18"/>
      <c r="O192" s="6"/>
      <c r="P192" s="7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4.25" customHeight="1" x14ac:dyDescent="0.35">
      <c r="A193" s="1"/>
      <c r="B193" s="3"/>
      <c r="C193" s="5"/>
      <c r="D193" s="5"/>
      <c r="E193" s="18"/>
      <c r="F193" s="23" t="s">
        <v>392</v>
      </c>
      <c r="G193" s="6"/>
      <c r="H193" s="14" t="s">
        <v>393</v>
      </c>
      <c r="I193" s="14" t="s">
        <v>14</v>
      </c>
      <c r="J193" s="14">
        <v>3163645</v>
      </c>
      <c r="K193" s="34">
        <v>45283</v>
      </c>
      <c r="L193" s="3" t="s">
        <v>394</v>
      </c>
      <c r="M193" s="18"/>
      <c r="N193" s="5"/>
      <c r="O193" s="6"/>
      <c r="P193" s="7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4.25" customHeight="1" x14ac:dyDescent="0.35">
      <c r="A194" s="1"/>
      <c r="B194" s="29" t="s">
        <v>395</v>
      </c>
      <c r="C194" s="30" t="s">
        <v>396</v>
      </c>
      <c r="D194" s="29"/>
      <c r="E194" s="33"/>
      <c r="F194" s="32"/>
      <c r="G194" s="32"/>
      <c r="H194" s="29" t="s">
        <v>397</v>
      </c>
      <c r="I194" s="30"/>
      <c r="J194" s="30">
        <v>3353062</v>
      </c>
      <c r="K194" s="31">
        <v>45699</v>
      </c>
      <c r="L194" s="3" t="s">
        <v>398</v>
      </c>
      <c r="M194" s="5"/>
      <c r="N194" s="5"/>
      <c r="O194" s="6"/>
      <c r="P194" s="7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4.25" customHeight="1" x14ac:dyDescent="0.35">
      <c r="A195" s="38" t="s">
        <v>399</v>
      </c>
      <c r="B195" s="29"/>
      <c r="C195" s="30" t="s">
        <v>400</v>
      </c>
      <c r="D195" s="29"/>
      <c r="E195" s="33"/>
      <c r="F195" s="32"/>
      <c r="G195" s="32"/>
      <c r="H195" s="29" t="s">
        <v>401</v>
      </c>
      <c r="I195" s="30" t="s">
        <v>14</v>
      </c>
      <c r="J195" s="30">
        <v>3347269</v>
      </c>
      <c r="K195" s="31">
        <v>45681</v>
      </c>
      <c r="L195" s="3" t="s">
        <v>402</v>
      </c>
      <c r="M195" s="5"/>
      <c r="N195" s="5"/>
      <c r="O195" s="6"/>
      <c r="P195" s="7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4.25" customHeight="1" x14ac:dyDescent="0.35">
      <c r="A196" s="1"/>
      <c r="B196" s="3"/>
      <c r="C196" s="5"/>
      <c r="D196" s="5"/>
      <c r="E196" s="2"/>
      <c r="F196" s="24" t="s">
        <v>403</v>
      </c>
      <c r="G196" s="6"/>
      <c r="H196" s="14" t="s">
        <v>404</v>
      </c>
      <c r="I196" s="14" t="s">
        <v>332</v>
      </c>
      <c r="J196" s="19">
        <v>3293704</v>
      </c>
      <c r="K196" s="47"/>
      <c r="L196" s="3"/>
      <c r="M196" s="5"/>
      <c r="N196" s="5"/>
      <c r="O196" s="6"/>
      <c r="P196" s="7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4.25" customHeight="1" x14ac:dyDescent="0.35">
      <c r="A197" s="1"/>
      <c r="B197" s="3"/>
      <c r="C197" s="5"/>
      <c r="D197" s="5"/>
      <c r="E197" s="2"/>
      <c r="F197" s="24" t="s">
        <v>405</v>
      </c>
      <c r="G197" s="6"/>
      <c r="H197" s="14" t="s">
        <v>406</v>
      </c>
      <c r="I197" s="14" t="s">
        <v>14</v>
      </c>
      <c r="J197" s="19">
        <v>3292750</v>
      </c>
      <c r="K197" s="47"/>
      <c r="L197" s="3"/>
      <c r="M197" s="5"/>
      <c r="N197" s="5"/>
      <c r="O197" s="6"/>
      <c r="P197" s="7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4.25" customHeight="1" x14ac:dyDescent="0.35">
      <c r="A198" s="1"/>
      <c r="B198" s="3"/>
      <c r="C198" s="5"/>
      <c r="D198" s="5"/>
      <c r="E198" s="2"/>
      <c r="F198" s="24" t="s">
        <v>407</v>
      </c>
      <c r="G198" s="6"/>
      <c r="H198" s="14" t="s">
        <v>408</v>
      </c>
      <c r="I198" s="14" t="s">
        <v>14</v>
      </c>
      <c r="J198" s="19">
        <v>3309926</v>
      </c>
      <c r="K198" s="47"/>
      <c r="L198" s="3"/>
      <c r="M198" s="5"/>
      <c r="N198" s="5"/>
      <c r="O198" s="6"/>
      <c r="P198" s="7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4.25" customHeight="1" x14ac:dyDescent="0.35">
      <c r="A199" s="1"/>
      <c r="B199" s="3"/>
      <c r="C199" s="5"/>
      <c r="D199" s="5"/>
      <c r="E199" s="2"/>
      <c r="F199" s="24"/>
      <c r="G199" s="6"/>
      <c r="H199" s="14" t="s">
        <v>409</v>
      </c>
      <c r="I199" s="14" t="s">
        <v>14</v>
      </c>
      <c r="J199" s="19">
        <v>3296608</v>
      </c>
      <c r="K199" s="47"/>
      <c r="L199" s="3"/>
      <c r="M199" s="5"/>
      <c r="N199" s="5"/>
      <c r="O199" s="6"/>
      <c r="P199" s="7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4.25" customHeight="1" x14ac:dyDescent="0.35">
      <c r="A200" s="1"/>
      <c r="B200" s="3"/>
      <c r="C200" s="5"/>
      <c r="D200" s="5"/>
      <c r="E200" s="2"/>
      <c r="F200" s="24" t="s">
        <v>410</v>
      </c>
      <c r="G200" s="6"/>
      <c r="H200" s="14" t="s">
        <v>411</v>
      </c>
      <c r="I200" s="14" t="s">
        <v>14</v>
      </c>
      <c r="J200" s="19">
        <v>3295854</v>
      </c>
      <c r="K200" s="47"/>
      <c r="L200" s="3" t="s">
        <v>412</v>
      </c>
      <c r="M200" s="5"/>
      <c r="N200" s="5"/>
      <c r="O200" s="6"/>
      <c r="P200" s="7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4.25" customHeight="1" x14ac:dyDescent="0.35">
      <c r="A201" s="1"/>
      <c r="B201" s="3"/>
      <c r="C201" s="5"/>
      <c r="D201" s="5"/>
      <c r="E201" s="2"/>
      <c r="F201" s="24"/>
      <c r="G201" s="6"/>
      <c r="H201" s="14" t="s">
        <v>413</v>
      </c>
      <c r="I201" s="14" t="s">
        <v>14</v>
      </c>
      <c r="J201" s="19">
        <v>3294649</v>
      </c>
      <c r="K201" s="47"/>
      <c r="L201" s="3"/>
      <c r="M201" s="5"/>
      <c r="N201" s="5"/>
      <c r="O201" s="6"/>
      <c r="P201" s="7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4.25" customHeight="1" x14ac:dyDescent="0.35">
      <c r="A202" s="1"/>
      <c r="B202" s="3"/>
      <c r="C202" s="5"/>
      <c r="D202" s="5"/>
      <c r="E202" s="2"/>
      <c r="F202" s="24" t="s">
        <v>414</v>
      </c>
      <c r="G202" s="6"/>
      <c r="H202" s="14" t="s">
        <v>415</v>
      </c>
      <c r="I202" s="14" t="s">
        <v>14</v>
      </c>
      <c r="J202" s="19">
        <v>3291522</v>
      </c>
      <c r="K202" s="47"/>
      <c r="L202" s="3" t="s">
        <v>416</v>
      </c>
      <c r="M202" s="5"/>
      <c r="N202" s="5"/>
      <c r="O202" s="6"/>
      <c r="P202" s="7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4.25" customHeight="1" x14ac:dyDescent="0.35">
      <c r="A203" s="1"/>
      <c r="B203" s="3"/>
      <c r="C203" s="5"/>
      <c r="D203" s="5"/>
      <c r="E203" s="2"/>
      <c r="F203" s="24" t="s">
        <v>417</v>
      </c>
      <c r="G203" s="6"/>
      <c r="H203" s="14" t="s">
        <v>418</v>
      </c>
      <c r="I203" s="14" t="s">
        <v>14</v>
      </c>
      <c r="J203" s="19">
        <v>3300839</v>
      </c>
      <c r="K203" s="47"/>
      <c r="L203" s="3"/>
      <c r="M203" s="5"/>
      <c r="N203" s="5"/>
      <c r="O203" s="6"/>
      <c r="P203" s="7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4.25" customHeight="1" x14ac:dyDescent="0.35">
      <c r="A204" s="1"/>
      <c r="B204" s="3"/>
      <c r="C204" s="5"/>
      <c r="D204" s="5"/>
      <c r="E204" s="2"/>
      <c r="F204" s="24" t="s">
        <v>419</v>
      </c>
      <c r="G204" s="6"/>
      <c r="H204" s="14" t="s">
        <v>420</v>
      </c>
      <c r="I204" s="14" t="s">
        <v>36</v>
      </c>
      <c r="J204" s="19">
        <v>3263546</v>
      </c>
      <c r="K204" s="47"/>
      <c r="L204" s="3" t="s">
        <v>421</v>
      </c>
      <c r="M204" s="5"/>
      <c r="N204" s="5"/>
      <c r="O204" s="6"/>
      <c r="P204" s="7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4.25" customHeight="1" x14ac:dyDescent="0.35">
      <c r="A205" s="1"/>
      <c r="B205" s="3"/>
      <c r="C205" s="5"/>
      <c r="D205" s="5"/>
      <c r="E205" s="2"/>
      <c r="F205" s="24" t="s">
        <v>422</v>
      </c>
      <c r="G205" s="6"/>
      <c r="H205" s="14" t="s">
        <v>423</v>
      </c>
      <c r="I205" s="14" t="s">
        <v>14</v>
      </c>
      <c r="J205" s="14">
        <v>3215791</v>
      </c>
      <c r="K205" s="15">
        <v>45487</v>
      </c>
      <c r="L205" s="3" t="s">
        <v>424</v>
      </c>
      <c r="M205" s="5"/>
      <c r="N205" s="5"/>
      <c r="O205" s="6"/>
      <c r="P205" s="7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4.25" customHeight="1" x14ac:dyDescent="0.35">
      <c r="A206" s="1"/>
      <c r="B206" s="3"/>
      <c r="C206" s="5"/>
      <c r="D206" s="5"/>
      <c r="E206" s="23"/>
      <c r="F206" s="48" t="s">
        <v>425</v>
      </c>
      <c r="G206" s="6"/>
      <c r="H206" s="14" t="s">
        <v>426</v>
      </c>
      <c r="I206" s="14" t="s">
        <v>14</v>
      </c>
      <c r="J206" s="49">
        <v>3245324</v>
      </c>
      <c r="K206" s="50"/>
      <c r="L206" s="5"/>
      <c r="M206" s="5"/>
      <c r="N206" s="5"/>
      <c r="O206" s="6"/>
      <c r="P206" s="7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4.25" customHeight="1" x14ac:dyDescent="0.35">
      <c r="A207" s="1"/>
      <c r="B207" s="3"/>
      <c r="C207" s="5"/>
      <c r="D207" s="5"/>
      <c r="E207" s="2"/>
      <c r="F207" s="24" t="s">
        <v>427</v>
      </c>
      <c r="G207" s="6"/>
      <c r="H207" s="14" t="s">
        <v>428</v>
      </c>
      <c r="I207" s="14" t="s">
        <v>332</v>
      </c>
      <c r="J207" s="19" t="s">
        <v>429</v>
      </c>
      <c r="K207" s="47"/>
      <c r="L207" s="3"/>
      <c r="M207" s="5"/>
      <c r="N207" s="5"/>
      <c r="O207" s="6"/>
      <c r="P207" s="7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4.25" customHeight="1" x14ac:dyDescent="0.35">
      <c r="A208" s="1"/>
      <c r="B208" s="3" t="s">
        <v>430</v>
      </c>
      <c r="C208" s="5"/>
      <c r="D208" s="5"/>
      <c r="E208" s="23"/>
      <c r="F208" s="48" t="s">
        <v>431</v>
      </c>
      <c r="G208" s="6"/>
      <c r="H208" s="14" t="s">
        <v>432</v>
      </c>
      <c r="I208" s="14" t="s">
        <v>14</v>
      </c>
      <c r="J208" s="49">
        <v>3216038</v>
      </c>
      <c r="K208" s="51">
        <v>45409</v>
      </c>
      <c r="L208" s="5" t="s">
        <v>433</v>
      </c>
      <c r="M208" s="5"/>
      <c r="N208" s="5"/>
      <c r="O208" s="6"/>
      <c r="P208" s="7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4.25" customHeight="1" x14ac:dyDescent="0.35">
      <c r="A209" s="1"/>
      <c r="B209" s="3"/>
      <c r="C209" s="5"/>
      <c r="D209" s="5"/>
      <c r="E209" s="23"/>
      <c r="F209" s="48" t="s">
        <v>434</v>
      </c>
      <c r="G209" s="6"/>
      <c r="H209" s="14" t="s">
        <v>435</v>
      </c>
      <c r="I209" s="14" t="s">
        <v>14</v>
      </c>
      <c r="J209" s="49">
        <v>3200691</v>
      </c>
      <c r="K209" s="51">
        <v>45381</v>
      </c>
      <c r="L209" s="5" t="s">
        <v>436</v>
      </c>
      <c r="M209" s="5"/>
      <c r="N209" s="5"/>
      <c r="O209" s="6"/>
      <c r="P209" s="7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4.25" customHeight="1" x14ac:dyDescent="0.35">
      <c r="A210" s="1"/>
      <c r="B210" s="3"/>
      <c r="C210" s="5"/>
      <c r="D210" s="5"/>
      <c r="E210" s="23"/>
      <c r="F210" s="48" t="s">
        <v>437</v>
      </c>
      <c r="G210" s="6"/>
      <c r="H210" s="14" t="s">
        <v>438</v>
      </c>
      <c r="I210" s="14" t="s">
        <v>31</v>
      </c>
      <c r="J210" s="19">
        <v>3258698</v>
      </c>
      <c r="K210" s="15"/>
      <c r="L210" s="5"/>
      <c r="M210" s="5"/>
      <c r="N210" s="5"/>
      <c r="O210" s="6"/>
      <c r="P210" s="7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4.25" customHeight="1" x14ac:dyDescent="0.35">
      <c r="A211" s="1"/>
      <c r="B211" s="3"/>
      <c r="C211" s="5"/>
      <c r="D211" s="5"/>
      <c r="E211" s="2"/>
      <c r="F211" s="24"/>
      <c r="G211" s="6"/>
      <c r="H211" s="14" t="s">
        <v>439</v>
      </c>
      <c r="I211" s="14" t="s">
        <v>14</v>
      </c>
      <c r="J211" s="19">
        <v>3270724</v>
      </c>
      <c r="K211" s="47"/>
      <c r="L211" s="3" t="s">
        <v>440</v>
      </c>
      <c r="M211" s="5"/>
      <c r="N211" s="5"/>
      <c r="O211" s="6"/>
      <c r="P211" s="7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4.25" customHeight="1" x14ac:dyDescent="0.35">
      <c r="A212" s="1"/>
      <c r="B212" s="3"/>
      <c r="C212" s="5"/>
      <c r="D212" s="5"/>
      <c r="E212" s="2"/>
      <c r="F212" s="6"/>
      <c r="G212" s="6"/>
      <c r="H212" s="14" t="s">
        <v>441</v>
      </c>
      <c r="I212" s="14" t="s">
        <v>14</v>
      </c>
      <c r="J212" s="49">
        <v>3249598</v>
      </c>
      <c r="K212" s="50">
        <v>45468</v>
      </c>
      <c r="L212" s="3" t="s">
        <v>442</v>
      </c>
      <c r="M212" s="5"/>
      <c r="N212" s="5"/>
      <c r="O212" s="6"/>
      <c r="P212" s="7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4.25" customHeight="1" x14ac:dyDescent="0.35">
      <c r="A213" s="1"/>
      <c r="B213" s="3"/>
      <c r="C213" s="5"/>
      <c r="D213" s="5"/>
      <c r="E213" s="2"/>
      <c r="F213" s="24" t="s">
        <v>443</v>
      </c>
      <c r="G213" s="6"/>
      <c r="H213" s="14" t="s">
        <v>444</v>
      </c>
      <c r="I213" s="14" t="s">
        <v>36</v>
      </c>
      <c r="J213" s="19">
        <v>3266755</v>
      </c>
      <c r="K213" s="47"/>
      <c r="L213" s="3"/>
      <c r="M213" s="5"/>
      <c r="N213" s="5"/>
      <c r="O213" s="6"/>
      <c r="P213" s="7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4.25" customHeight="1" x14ac:dyDescent="0.35">
      <c r="A214" s="1"/>
      <c r="B214" s="3"/>
      <c r="C214" s="5"/>
      <c r="D214" s="5"/>
      <c r="E214" s="2"/>
      <c r="F214" s="24"/>
      <c r="G214" s="6"/>
      <c r="H214" s="14" t="s">
        <v>445</v>
      </c>
      <c r="I214" s="14" t="s">
        <v>14</v>
      </c>
      <c r="J214" s="49">
        <v>3226332</v>
      </c>
      <c r="K214" s="50">
        <v>45493</v>
      </c>
      <c r="L214" s="3" t="s">
        <v>446</v>
      </c>
      <c r="M214" s="5"/>
      <c r="N214" s="5"/>
      <c r="O214" s="6"/>
      <c r="P214" s="7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4.25" customHeight="1" x14ac:dyDescent="0.35">
      <c r="A215" s="1"/>
      <c r="B215" s="3"/>
      <c r="C215" s="5"/>
      <c r="D215" s="5"/>
      <c r="E215" s="23"/>
      <c r="F215" s="48" t="s">
        <v>447</v>
      </c>
      <c r="G215" s="6"/>
      <c r="H215" s="14" t="s">
        <v>448</v>
      </c>
      <c r="I215" s="14" t="s">
        <v>31</v>
      </c>
      <c r="J215" s="19" t="s">
        <v>449</v>
      </c>
      <c r="K215" s="15"/>
      <c r="L215" s="5"/>
      <c r="M215" s="5"/>
      <c r="N215" s="5"/>
      <c r="O215" s="6"/>
      <c r="P215" s="7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4.25" customHeight="1" x14ac:dyDescent="0.35">
      <c r="A216" s="1"/>
      <c r="B216" s="3"/>
      <c r="C216" s="5"/>
      <c r="D216" s="5"/>
      <c r="E216" s="23"/>
      <c r="F216" s="48" t="s">
        <v>450</v>
      </c>
      <c r="G216" s="6"/>
      <c r="H216" s="14" t="s">
        <v>451</v>
      </c>
      <c r="I216" s="14" t="s">
        <v>14</v>
      </c>
      <c r="J216" s="49">
        <v>3239998</v>
      </c>
      <c r="K216" s="50">
        <v>45451</v>
      </c>
      <c r="L216" s="3" t="s">
        <v>452</v>
      </c>
      <c r="M216" s="5"/>
      <c r="N216" s="5"/>
      <c r="O216" s="6"/>
      <c r="P216" s="7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4.25" customHeight="1" x14ac:dyDescent="0.35">
      <c r="A217" s="1"/>
      <c r="B217" s="3"/>
      <c r="C217" s="5"/>
      <c r="D217" s="5"/>
      <c r="E217" s="23"/>
      <c r="F217" s="48" t="s">
        <v>453</v>
      </c>
      <c r="G217" s="6"/>
      <c r="H217" s="14" t="s">
        <v>454</v>
      </c>
      <c r="I217" s="14" t="s">
        <v>31</v>
      </c>
      <c r="J217" s="19">
        <v>3255651</v>
      </c>
      <c r="K217" s="15"/>
      <c r="L217" s="5" t="s">
        <v>455</v>
      </c>
      <c r="M217" s="5"/>
      <c r="N217" s="5"/>
      <c r="O217" s="6"/>
      <c r="P217" s="7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4.25" customHeight="1" x14ac:dyDescent="0.35">
      <c r="A218" s="1"/>
      <c r="B218" s="3"/>
      <c r="C218" s="5"/>
      <c r="D218" s="5"/>
      <c r="E218" s="23"/>
      <c r="F218" s="48" t="s">
        <v>456</v>
      </c>
      <c r="G218" s="6"/>
      <c r="H218" s="14" t="s">
        <v>457</v>
      </c>
      <c r="I218" s="14" t="s">
        <v>14</v>
      </c>
      <c r="J218" s="49">
        <v>3016199</v>
      </c>
      <c r="K218" s="50">
        <v>45438</v>
      </c>
      <c r="L218" s="5" t="s">
        <v>458</v>
      </c>
      <c r="M218" s="5"/>
      <c r="N218" s="5"/>
      <c r="O218" s="6"/>
      <c r="P218" s="7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4.25" customHeight="1" x14ac:dyDescent="0.35">
      <c r="A219" s="1"/>
      <c r="B219" s="3"/>
      <c r="C219" s="5"/>
      <c r="D219" s="5"/>
      <c r="E219" s="23"/>
      <c r="F219" s="48" t="s">
        <v>459</v>
      </c>
      <c r="G219" s="6"/>
      <c r="H219" s="14" t="s">
        <v>460</v>
      </c>
      <c r="I219" s="14" t="s">
        <v>332</v>
      </c>
      <c r="J219" s="49">
        <v>3238574</v>
      </c>
      <c r="K219" s="50"/>
      <c r="L219" s="30" t="s">
        <v>461</v>
      </c>
      <c r="M219" s="5"/>
      <c r="N219" s="5"/>
      <c r="O219" s="6"/>
      <c r="P219" s="7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4.25" customHeight="1" x14ac:dyDescent="0.35">
      <c r="A220" s="1"/>
      <c r="B220" s="3"/>
      <c r="C220" s="5"/>
      <c r="D220" s="14"/>
      <c r="E220" s="19"/>
      <c r="F220" s="49" t="s">
        <v>462</v>
      </c>
      <c r="G220" s="16"/>
      <c r="H220" s="14" t="s">
        <v>463</v>
      </c>
      <c r="I220" s="14" t="s">
        <v>14</v>
      </c>
      <c r="J220" s="49">
        <v>3240082</v>
      </c>
      <c r="K220" s="50"/>
      <c r="L220" s="14" t="s">
        <v>464</v>
      </c>
      <c r="M220" s="5"/>
      <c r="N220" s="5"/>
      <c r="O220" s="6"/>
      <c r="P220" s="7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4.25" customHeight="1" x14ac:dyDescent="0.35">
      <c r="A221" s="1"/>
      <c r="B221" s="3"/>
      <c r="C221" s="5"/>
      <c r="D221" s="14"/>
      <c r="E221" s="19"/>
      <c r="F221" s="49" t="s">
        <v>465</v>
      </c>
      <c r="G221" s="16"/>
      <c r="H221" s="14" t="s">
        <v>466</v>
      </c>
      <c r="I221" s="14" t="s">
        <v>14</v>
      </c>
      <c r="J221" s="49">
        <v>3237661</v>
      </c>
      <c r="K221" s="50"/>
      <c r="L221" s="14" t="s">
        <v>467</v>
      </c>
      <c r="M221" s="5" t="s">
        <v>468</v>
      </c>
      <c r="N221" s="5"/>
      <c r="O221" s="6"/>
      <c r="P221" s="7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4.25" customHeight="1" x14ac:dyDescent="0.35">
      <c r="A222" s="1"/>
      <c r="B222" s="3"/>
      <c r="C222" s="5"/>
      <c r="D222" s="5"/>
      <c r="E222" s="23"/>
      <c r="F222" s="48" t="s">
        <v>469</v>
      </c>
      <c r="G222" s="6"/>
      <c r="H222" s="14" t="s">
        <v>470</v>
      </c>
      <c r="I222" s="14" t="s">
        <v>36</v>
      </c>
      <c r="J222" s="49">
        <v>3235056</v>
      </c>
      <c r="K222" s="50">
        <v>45439</v>
      </c>
      <c r="L222" s="5" t="s">
        <v>471</v>
      </c>
      <c r="M222" s="5"/>
      <c r="N222" s="5"/>
      <c r="O222" s="6"/>
      <c r="P222" s="7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4.25" customHeight="1" x14ac:dyDescent="0.35">
      <c r="A223" s="1"/>
      <c r="B223" s="3" t="s">
        <v>430</v>
      </c>
      <c r="C223" s="5"/>
      <c r="D223" s="5"/>
      <c r="E223" s="23"/>
      <c r="F223" s="48" t="s">
        <v>472</v>
      </c>
      <c r="G223" s="6"/>
      <c r="H223" s="14" t="s">
        <v>473</v>
      </c>
      <c r="I223" s="14" t="s">
        <v>14</v>
      </c>
      <c r="J223" s="49">
        <v>3224708</v>
      </c>
      <c r="K223" s="50">
        <v>45424</v>
      </c>
      <c r="L223" s="5" t="s">
        <v>474</v>
      </c>
      <c r="M223" s="5"/>
      <c r="N223" s="5"/>
      <c r="O223" s="6"/>
      <c r="P223" s="7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4.25" customHeight="1" x14ac:dyDescent="0.35">
      <c r="A224" s="1"/>
      <c r="B224" s="3"/>
      <c r="C224" s="5"/>
      <c r="D224" s="5"/>
      <c r="E224" s="18"/>
      <c r="F224" s="23" t="s">
        <v>475</v>
      </c>
      <c r="G224" s="6"/>
      <c r="H224" s="14" t="s">
        <v>476</v>
      </c>
      <c r="I224" s="13" t="s">
        <v>14</v>
      </c>
      <c r="J224" s="19">
        <v>3198716</v>
      </c>
      <c r="K224" s="47">
        <v>45383</v>
      </c>
      <c r="L224" s="3" t="s">
        <v>477</v>
      </c>
      <c r="M224" s="5"/>
      <c r="N224" s="18"/>
      <c r="O224" s="6"/>
      <c r="P224" s="7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4.25" customHeight="1" x14ac:dyDescent="0.35">
      <c r="A225" s="1"/>
      <c r="B225" s="3"/>
      <c r="C225" s="5"/>
      <c r="D225" s="5"/>
      <c r="E225" s="18"/>
      <c r="F225" s="23" t="s">
        <v>478</v>
      </c>
      <c r="G225" s="6"/>
      <c r="H225" s="14" t="s">
        <v>479</v>
      </c>
      <c r="I225" s="13" t="s">
        <v>14</v>
      </c>
      <c r="J225" s="19">
        <v>3198716</v>
      </c>
      <c r="K225" s="47"/>
      <c r="L225" s="3" t="s">
        <v>480</v>
      </c>
      <c r="M225" s="5"/>
      <c r="N225" s="18"/>
      <c r="O225" s="6"/>
      <c r="P225" s="7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4.25" customHeight="1" x14ac:dyDescent="0.35">
      <c r="A226" s="1"/>
      <c r="B226" s="3"/>
      <c r="C226" s="5"/>
      <c r="D226" s="5"/>
      <c r="E226" s="23"/>
      <c r="F226" s="48" t="s">
        <v>481</v>
      </c>
      <c r="G226" s="6"/>
      <c r="H226" s="14" t="s">
        <v>482</v>
      </c>
      <c r="I226" s="14" t="s">
        <v>14</v>
      </c>
      <c r="J226" s="49">
        <v>3229734</v>
      </c>
      <c r="K226" s="50" t="s">
        <v>364</v>
      </c>
      <c r="L226" s="5" t="s">
        <v>483</v>
      </c>
      <c r="M226" s="5"/>
      <c r="N226" s="5"/>
      <c r="O226" s="6"/>
      <c r="P226" s="7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4.25" customHeight="1" x14ac:dyDescent="0.35">
      <c r="A227" s="1"/>
      <c r="B227" s="3"/>
      <c r="C227" s="5"/>
      <c r="D227" s="5"/>
      <c r="E227" s="23"/>
      <c r="F227" s="48" t="s">
        <v>484</v>
      </c>
      <c r="G227" s="6"/>
      <c r="H227" s="14" t="s">
        <v>485</v>
      </c>
      <c r="I227" s="14" t="s">
        <v>14</v>
      </c>
      <c r="J227" s="49">
        <v>3231873</v>
      </c>
      <c r="K227" s="50">
        <v>45437</v>
      </c>
      <c r="L227" s="5" t="s">
        <v>486</v>
      </c>
      <c r="M227" s="5"/>
      <c r="N227" s="5"/>
      <c r="O227" s="6"/>
      <c r="P227" s="7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4.25" customHeight="1" x14ac:dyDescent="0.35">
      <c r="A228" s="1"/>
      <c r="B228" s="3"/>
      <c r="C228" s="5"/>
      <c r="D228" s="5"/>
      <c r="E228" s="18"/>
      <c r="F228" s="23" t="s">
        <v>487</v>
      </c>
      <c r="G228" s="6"/>
      <c r="H228" s="14" t="s">
        <v>488</v>
      </c>
      <c r="I228" s="14" t="s">
        <v>14</v>
      </c>
      <c r="J228" s="14">
        <v>3135861</v>
      </c>
      <c r="K228" s="34">
        <v>45223</v>
      </c>
      <c r="L228" s="3"/>
      <c r="M228" s="5"/>
      <c r="N228" s="5"/>
      <c r="O228" s="6"/>
      <c r="P228" s="7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4.25" customHeight="1" x14ac:dyDescent="0.35">
      <c r="A229" s="1"/>
      <c r="B229" s="3"/>
      <c r="C229" s="5"/>
      <c r="D229" s="5"/>
      <c r="E229" s="18"/>
      <c r="F229" s="23" t="s">
        <v>489</v>
      </c>
      <c r="G229" s="6"/>
      <c r="H229" s="14" t="s">
        <v>490</v>
      </c>
      <c r="I229" s="14" t="s">
        <v>14</v>
      </c>
      <c r="J229" s="14">
        <v>3169437</v>
      </c>
      <c r="K229" s="34">
        <v>45298</v>
      </c>
      <c r="L229" s="3"/>
      <c r="M229" s="5"/>
      <c r="N229" s="18"/>
      <c r="O229" s="6"/>
      <c r="P229" s="7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4.25" customHeight="1" x14ac:dyDescent="0.35">
      <c r="A230" s="1"/>
      <c r="B230" s="3"/>
      <c r="C230" s="5"/>
      <c r="D230" s="5"/>
      <c r="E230" s="18"/>
      <c r="F230" s="23" t="s">
        <v>491</v>
      </c>
      <c r="G230" s="6"/>
      <c r="H230" s="14" t="s">
        <v>492</v>
      </c>
      <c r="I230" s="13" t="s">
        <v>14</v>
      </c>
      <c r="J230" s="19">
        <v>3177621</v>
      </c>
      <c r="K230" s="47"/>
      <c r="L230" s="3" t="s">
        <v>493</v>
      </c>
      <c r="M230" s="5"/>
      <c r="N230" s="18"/>
      <c r="O230" s="6"/>
      <c r="P230" s="7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4.25" customHeight="1" x14ac:dyDescent="0.35">
      <c r="A231" s="1"/>
      <c r="B231" s="3"/>
      <c r="C231" s="5"/>
      <c r="D231" s="5"/>
      <c r="E231" s="18"/>
      <c r="F231" s="23" t="s">
        <v>494</v>
      </c>
      <c r="G231" s="6"/>
      <c r="H231" s="14" t="s">
        <v>495</v>
      </c>
      <c r="I231" s="13" t="s">
        <v>14</v>
      </c>
      <c r="J231" s="19">
        <v>3193628</v>
      </c>
      <c r="K231" s="47">
        <v>45368</v>
      </c>
      <c r="L231" s="3" t="s">
        <v>496</v>
      </c>
      <c r="M231" s="5"/>
      <c r="N231" s="18"/>
      <c r="O231" s="6"/>
      <c r="P231" s="7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4.25" customHeight="1" x14ac:dyDescent="0.35">
      <c r="A232" s="1"/>
      <c r="B232" s="3"/>
      <c r="C232" s="5"/>
      <c r="D232" s="5"/>
      <c r="E232" s="18"/>
      <c r="F232" s="23" t="s">
        <v>497</v>
      </c>
      <c r="G232" s="6"/>
      <c r="H232" s="14" t="s">
        <v>498</v>
      </c>
      <c r="I232" s="14" t="s">
        <v>14</v>
      </c>
      <c r="J232" s="14">
        <v>3166554</v>
      </c>
      <c r="K232" s="34">
        <v>45296</v>
      </c>
      <c r="L232" s="3"/>
      <c r="M232" s="18"/>
      <c r="N232" s="5"/>
      <c r="O232" s="6"/>
      <c r="P232" s="7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4.25" customHeight="1" x14ac:dyDescent="0.35">
      <c r="A233" s="1"/>
      <c r="B233" s="3"/>
      <c r="C233" s="5"/>
      <c r="D233" s="5"/>
      <c r="E233" s="23"/>
      <c r="F233" s="48" t="s">
        <v>499</v>
      </c>
      <c r="G233" s="6"/>
      <c r="H233" s="14" t="s">
        <v>500</v>
      </c>
      <c r="I233" s="14" t="s">
        <v>14</v>
      </c>
      <c r="J233" s="49">
        <v>3206965</v>
      </c>
      <c r="K233" s="50">
        <v>45394</v>
      </c>
      <c r="L233" s="5"/>
      <c r="M233" s="5"/>
      <c r="N233" s="5"/>
      <c r="O233" s="6"/>
      <c r="P233" s="7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4.25" customHeight="1" x14ac:dyDescent="0.35">
      <c r="A234" s="1"/>
      <c r="B234" s="3"/>
      <c r="C234" s="5"/>
      <c r="D234" s="5"/>
      <c r="E234" s="23"/>
      <c r="F234" s="48" t="s">
        <v>501</v>
      </c>
      <c r="G234" s="6"/>
      <c r="H234" s="14" t="s">
        <v>502</v>
      </c>
      <c r="I234" s="14" t="s">
        <v>14</v>
      </c>
      <c r="J234" s="49">
        <v>3212447</v>
      </c>
      <c r="K234" s="50"/>
      <c r="L234" s="5"/>
      <c r="M234" s="5"/>
      <c r="N234" s="5"/>
      <c r="O234" s="6"/>
      <c r="P234" s="7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4.25" customHeight="1" x14ac:dyDescent="0.35">
      <c r="A235" s="1"/>
      <c r="B235" s="3"/>
      <c r="C235" s="5"/>
      <c r="D235" s="5"/>
      <c r="E235" s="23"/>
      <c r="F235" s="48" t="s">
        <v>503</v>
      </c>
      <c r="G235" s="6"/>
      <c r="H235" s="14" t="s">
        <v>504</v>
      </c>
      <c r="I235" s="14" t="s">
        <v>212</v>
      </c>
      <c r="J235" s="49">
        <v>3217581</v>
      </c>
      <c r="K235" s="50">
        <v>45411</v>
      </c>
      <c r="L235" s="5" t="s">
        <v>505</v>
      </c>
      <c r="M235" s="5"/>
      <c r="N235" s="5"/>
      <c r="O235" s="6"/>
      <c r="P235" s="7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4.25" customHeight="1" x14ac:dyDescent="0.35">
      <c r="A236" s="1"/>
      <c r="B236" s="3"/>
      <c r="C236" s="5"/>
      <c r="D236" s="5"/>
      <c r="E236" s="23"/>
      <c r="F236" s="23" t="s">
        <v>506</v>
      </c>
      <c r="G236" s="6"/>
      <c r="H236" s="14" t="s">
        <v>507</v>
      </c>
      <c r="I236" s="14" t="s">
        <v>332</v>
      </c>
      <c r="J236" s="14">
        <v>3160527</v>
      </c>
      <c r="K236" s="15"/>
      <c r="L236" s="5" t="s">
        <v>508</v>
      </c>
      <c r="M236" s="5"/>
      <c r="N236" s="5"/>
      <c r="O236" s="6"/>
      <c r="P236" s="7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4.25" customHeight="1" x14ac:dyDescent="0.35">
      <c r="A237" s="1"/>
      <c r="B237" s="3"/>
      <c r="C237" s="5"/>
      <c r="D237" s="5"/>
      <c r="E237" s="23"/>
      <c r="F237" s="48" t="s">
        <v>509</v>
      </c>
      <c r="G237" s="6"/>
      <c r="H237" s="14" t="s">
        <v>510</v>
      </c>
      <c r="I237" s="14" t="s">
        <v>14</v>
      </c>
      <c r="J237" s="49">
        <v>3208152</v>
      </c>
      <c r="K237" s="50">
        <v>45394</v>
      </c>
      <c r="L237" s="5" t="s">
        <v>511</v>
      </c>
      <c r="M237" s="5"/>
      <c r="N237" s="5"/>
      <c r="O237" s="6"/>
      <c r="P237" s="7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4.25" customHeight="1" x14ac:dyDescent="0.35">
      <c r="A238" s="1"/>
      <c r="B238" s="3" t="s">
        <v>512</v>
      </c>
      <c r="C238" s="5"/>
      <c r="D238" s="5"/>
      <c r="E238" s="18"/>
      <c r="F238" s="23"/>
      <c r="G238" s="6"/>
      <c r="H238" s="14" t="s">
        <v>513</v>
      </c>
      <c r="I238" s="13" t="s">
        <v>332</v>
      </c>
      <c r="J238" s="19">
        <v>3175659</v>
      </c>
      <c r="K238" s="47">
        <v>45317</v>
      </c>
      <c r="L238" s="3" t="s">
        <v>514</v>
      </c>
      <c r="M238" s="5"/>
      <c r="N238" s="18"/>
      <c r="O238" s="6"/>
      <c r="P238" s="7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4.25" customHeight="1" x14ac:dyDescent="0.35">
      <c r="A239" s="1"/>
      <c r="B239" s="3"/>
      <c r="C239" s="5"/>
      <c r="D239" s="5"/>
      <c r="E239" s="18"/>
      <c r="F239" s="23" t="s">
        <v>515</v>
      </c>
      <c r="G239" s="6"/>
      <c r="H239" s="14" t="s">
        <v>516</v>
      </c>
      <c r="I239" s="13" t="s">
        <v>14</v>
      </c>
      <c r="J239" s="19">
        <v>3197685</v>
      </c>
      <c r="K239" s="47">
        <v>45375</v>
      </c>
      <c r="L239" s="3"/>
      <c r="M239" s="5"/>
      <c r="N239" s="18"/>
      <c r="O239" s="6"/>
      <c r="P239" s="7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4.25" customHeight="1" x14ac:dyDescent="0.35">
      <c r="A240" s="1"/>
      <c r="B240" s="3"/>
      <c r="C240" s="5"/>
      <c r="D240" s="5"/>
      <c r="E240" s="18"/>
      <c r="F240" s="23" t="s">
        <v>517</v>
      </c>
      <c r="G240" s="6"/>
      <c r="H240" s="14" t="s">
        <v>518</v>
      </c>
      <c r="I240" s="14" t="s">
        <v>332</v>
      </c>
      <c r="J240" s="14">
        <v>3165548</v>
      </c>
      <c r="K240" s="15">
        <v>45289</v>
      </c>
      <c r="L240" s="3"/>
      <c r="M240" s="5"/>
      <c r="N240" s="5"/>
      <c r="O240" s="6"/>
      <c r="P240" s="7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4.25" customHeight="1" x14ac:dyDescent="0.35">
      <c r="A241" s="1"/>
      <c r="B241" s="3"/>
      <c r="C241" s="5"/>
      <c r="D241" s="5"/>
      <c r="E241" s="18"/>
      <c r="F241" s="23" t="s">
        <v>519</v>
      </c>
      <c r="G241" s="6"/>
      <c r="H241" s="14" t="s">
        <v>520</v>
      </c>
      <c r="I241" s="13" t="s">
        <v>332</v>
      </c>
      <c r="J241" s="19">
        <v>3198240</v>
      </c>
      <c r="K241" s="47">
        <v>45377</v>
      </c>
      <c r="L241" s="3" t="s">
        <v>521</v>
      </c>
      <c r="M241" s="5"/>
      <c r="N241" s="18"/>
      <c r="O241" s="6"/>
      <c r="P241" s="7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4.25" customHeight="1" x14ac:dyDescent="0.35">
      <c r="A242" s="1"/>
      <c r="B242" s="3" t="s">
        <v>522</v>
      </c>
      <c r="C242" s="5"/>
      <c r="D242" s="5"/>
      <c r="E242" s="18"/>
      <c r="F242" s="23"/>
      <c r="G242" s="6"/>
      <c r="H242" s="14" t="s">
        <v>523</v>
      </c>
      <c r="I242" s="14" t="s">
        <v>14</v>
      </c>
      <c r="J242" s="14">
        <v>3167483</v>
      </c>
      <c r="K242" s="15">
        <v>45293</v>
      </c>
      <c r="L242" s="3" t="s">
        <v>524</v>
      </c>
      <c r="M242" s="5"/>
      <c r="N242" s="5"/>
      <c r="O242" s="6"/>
      <c r="P242" s="7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4.25" customHeight="1" x14ac:dyDescent="0.35">
      <c r="A243" s="1"/>
      <c r="B243" s="3" t="s">
        <v>525</v>
      </c>
      <c r="C243" s="5"/>
      <c r="D243" s="5"/>
      <c r="E243" s="18"/>
      <c r="F243" s="23"/>
      <c r="G243" s="6"/>
      <c r="H243" s="14" t="s">
        <v>526</v>
      </c>
      <c r="I243" s="13" t="s">
        <v>332</v>
      </c>
      <c r="J243" s="19" t="s">
        <v>300</v>
      </c>
      <c r="K243" s="47"/>
      <c r="L243" s="3" t="s">
        <v>527</v>
      </c>
      <c r="M243" s="5"/>
      <c r="N243" s="18"/>
      <c r="O243" s="6"/>
      <c r="P243" s="7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4.25" customHeight="1" x14ac:dyDescent="0.35">
      <c r="A244" s="1"/>
      <c r="B244" s="3" t="s">
        <v>528</v>
      </c>
      <c r="C244" s="5"/>
      <c r="D244" s="5"/>
      <c r="E244" s="18"/>
      <c r="F244" s="23"/>
      <c r="G244" s="6"/>
      <c r="H244" s="14" t="s">
        <v>529</v>
      </c>
      <c r="I244" s="13" t="s">
        <v>14</v>
      </c>
      <c r="J244" s="19">
        <v>3177241</v>
      </c>
      <c r="K244" s="47"/>
      <c r="L244" s="3"/>
      <c r="M244" s="5"/>
      <c r="N244" s="18"/>
      <c r="O244" s="6"/>
      <c r="P244" s="7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4.25" customHeight="1" x14ac:dyDescent="0.35">
      <c r="A245" s="1"/>
      <c r="B245" s="3" t="s">
        <v>530</v>
      </c>
      <c r="C245" s="1"/>
      <c r="D245" s="1"/>
      <c r="E245" s="1"/>
      <c r="F245" s="1"/>
      <c r="G245" s="1"/>
      <c r="H245" s="14" t="s">
        <v>531</v>
      </c>
      <c r="I245" s="14" t="s">
        <v>332</v>
      </c>
      <c r="J245" s="14">
        <v>3168624</v>
      </c>
      <c r="K245" s="15">
        <v>45292</v>
      </c>
      <c r="L245" s="3" t="s">
        <v>532</v>
      </c>
      <c r="M245" s="5"/>
      <c r="N245" s="5"/>
      <c r="O245" s="6"/>
      <c r="P245" s="7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4.25" customHeight="1" x14ac:dyDescent="0.35">
      <c r="A246" s="1"/>
      <c r="B246" s="3" t="s">
        <v>533</v>
      </c>
      <c r="C246" s="1"/>
      <c r="D246" s="1"/>
      <c r="E246" s="1"/>
      <c r="F246" s="1"/>
      <c r="G246" s="1"/>
      <c r="H246" s="14" t="s">
        <v>534</v>
      </c>
      <c r="I246" s="14" t="s">
        <v>14</v>
      </c>
      <c r="J246" s="14">
        <v>3167362</v>
      </c>
      <c r="K246" s="15"/>
      <c r="L246" s="3"/>
      <c r="M246" s="5"/>
      <c r="N246" s="5"/>
      <c r="O246" s="6"/>
      <c r="P246" s="7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4.25" customHeight="1" x14ac:dyDescent="0.35">
      <c r="A247" s="1"/>
      <c r="B247" s="3" t="s">
        <v>535</v>
      </c>
      <c r="C247" s="1"/>
      <c r="D247" s="1"/>
      <c r="E247" s="1"/>
      <c r="F247" s="1"/>
      <c r="G247" s="1"/>
      <c r="H247" s="14" t="s">
        <v>536</v>
      </c>
      <c r="I247" s="14" t="s">
        <v>14</v>
      </c>
      <c r="J247" s="14">
        <v>3113066</v>
      </c>
      <c r="K247" s="15"/>
      <c r="L247" s="3"/>
      <c r="M247" s="5"/>
      <c r="N247" s="5"/>
      <c r="O247" s="6"/>
      <c r="P247" s="7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4.25" customHeight="1" x14ac:dyDescent="0.35">
      <c r="A248" s="1"/>
      <c r="B248" s="1"/>
      <c r="C248" s="1"/>
      <c r="D248" s="1"/>
      <c r="E248" s="1"/>
      <c r="F248" s="1"/>
      <c r="G248" s="1"/>
      <c r="H248" s="14" t="s">
        <v>537</v>
      </c>
      <c r="I248" s="13" t="s">
        <v>31</v>
      </c>
      <c r="J248" s="19">
        <v>3172571</v>
      </c>
      <c r="K248" s="47"/>
      <c r="L248" s="3"/>
      <c r="M248" s="5"/>
      <c r="N248" s="5"/>
      <c r="O248" s="6"/>
      <c r="P248" s="7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4.25" customHeight="1" x14ac:dyDescent="0.35">
      <c r="A249" s="1"/>
      <c r="B249" s="3" t="s">
        <v>538</v>
      </c>
      <c r="C249" s="1"/>
      <c r="D249" s="1"/>
      <c r="E249" s="1"/>
      <c r="F249" s="1"/>
      <c r="G249" s="1"/>
      <c r="H249" s="14" t="s">
        <v>539</v>
      </c>
      <c r="I249" s="14" t="s">
        <v>14</v>
      </c>
      <c r="J249" s="14">
        <v>3167115</v>
      </c>
      <c r="K249" s="15"/>
      <c r="L249" s="3"/>
      <c r="M249" s="5"/>
      <c r="N249" s="5"/>
      <c r="O249" s="6"/>
      <c r="P249" s="7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4.25" customHeight="1" x14ac:dyDescent="0.35">
      <c r="A250" s="1"/>
      <c r="B250" s="3" t="s">
        <v>540</v>
      </c>
      <c r="C250" s="5"/>
      <c r="D250" s="5"/>
      <c r="E250" s="23"/>
      <c r="F250" s="6"/>
      <c r="G250" s="6"/>
      <c r="H250" s="14" t="s">
        <v>387</v>
      </c>
      <c r="I250" s="14" t="s">
        <v>14</v>
      </c>
      <c r="J250" s="14">
        <v>3116003</v>
      </c>
      <c r="K250" s="15"/>
      <c r="L250" s="3"/>
      <c r="M250" s="5"/>
      <c r="N250" s="5"/>
      <c r="O250" s="6"/>
      <c r="P250" s="7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4.25" customHeight="1" x14ac:dyDescent="0.35">
      <c r="A251" s="1"/>
      <c r="B251" s="3" t="s">
        <v>541</v>
      </c>
      <c r="C251" s="5"/>
      <c r="D251" s="3"/>
      <c r="E251" s="2"/>
      <c r="F251" s="6"/>
      <c r="G251" s="6"/>
      <c r="H251" s="13" t="s">
        <v>542</v>
      </c>
      <c r="I251" s="14" t="s">
        <v>36</v>
      </c>
      <c r="J251" s="14">
        <v>3161024</v>
      </c>
      <c r="K251" s="15"/>
      <c r="L251" s="3" t="s">
        <v>543</v>
      </c>
      <c r="M251" s="5"/>
      <c r="N251" s="5"/>
      <c r="O251" s="6"/>
      <c r="P251" s="7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4.25" customHeight="1" x14ac:dyDescent="0.35">
      <c r="A252" s="1"/>
      <c r="B252" s="3" t="s">
        <v>544</v>
      </c>
      <c r="C252" s="5"/>
      <c r="D252" s="3"/>
      <c r="E252" s="2"/>
      <c r="F252" s="6"/>
      <c r="G252" s="6"/>
      <c r="H252" s="14" t="s">
        <v>545</v>
      </c>
      <c r="I252" s="14" t="s">
        <v>14</v>
      </c>
      <c r="J252" s="14">
        <v>3127247</v>
      </c>
      <c r="K252" s="15"/>
      <c r="L252" s="3"/>
      <c r="M252" s="5"/>
      <c r="N252" s="5"/>
      <c r="O252" s="6"/>
      <c r="P252" s="7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4.25" customHeight="1" x14ac:dyDescent="0.35">
      <c r="A253" s="1"/>
      <c r="B253" s="13"/>
      <c r="C253" s="14" t="s">
        <v>57</v>
      </c>
      <c r="D253" s="14" t="s">
        <v>546</v>
      </c>
      <c r="E253" s="19"/>
      <c r="F253" s="16"/>
      <c r="G253" s="16"/>
      <c r="H253" s="14" t="s">
        <v>547</v>
      </c>
      <c r="I253" s="14" t="s">
        <v>14</v>
      </c>
      <c r="J253" s="14">
        <v>3133485</v>
      </c>
      <c r="K253" s="15">
        <v>45222</v>
      </c>
      <c r="L253" s="3" t="s">
        <v>548</v>
      </c>
      <c r="M253" s="5"/>
      <c r="N253" s="5"/>
      <c r="O253" s="6"/>
      <c r="P253" s="7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4.25" customHeight="1" x14ac:dyDescent="0.35">
      <c r="A254" s="2"/>
      <c r="B254" s="52"/>
      <c r="C254" s="14" t="s">
        <v>57</v>
      </c>
      <c r="D254" s="13" t="s">
        <v>549</v>
      </c>
      <c r="E254" s="19" t="s">
        <v>550</v>
      </c>
      <c r="F254" s="16">
        <v>72384</v>
      </c>
      <c r="G254" s="16">
        <f t="shared" ref="G254:G255" si="0">((F254-4625)*1.45)+4625+11250</f>
        <v>114125.55</v>
      </c>
      <c r="H254" s="14" t="s">
        <v>551</v>
      </c>
      <c r="I254" s="14" t="s">
        <v>14</v>
      </c>
      <c r="J254" s="14">
        <v>3073045</v>
      </c>
      <c r="K254" s="47">
        <v>45104</v>
      </c>
      <c r="L254" s="3" t="s">
        <v>552</v>
      </c>
      <c r="M254" s="5"/>
      <c r="N254" s="5"/>
      <c r="O254" s="6"/>
      <c r="P254" s="7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4.25" customHeight="1" x14ac:dyDescent="0.35">
      <c r="A255" s="1"/>
      <c r="B255" s="13"/>
      <c r="C255" s="14" t="s">
        <v>57</v>
      </c>
      <c r="D255" s="14" t="s">
        <v>549</v>
      </c>
      <c r="E255" s="19" t="s">
        <v>550</v>
      </c>
      <c r="F255" s="16">
        <v>72384</v>
      </c>
      <c r="G255" s="16">
        <f t="shared" si="0"/>
        <v>114125.55</v>
      </c>
      <c r="H255" s="13" t="s">
        <v>553</v>
      </c>
      <c r="I255" s="13" t="s">
        <v>14</v>
      </c>
      <c r="J255" s="14">
        <v>3031202</v>
      </c>
      <c r="K255" s="47">
        <v>45025</v>
      </c>
      <c r="L255" s="5" t="s">
        <v>554</v>
      </c>
      <c r="M255" s="6"/>
      <c r="N255" s="5"/>
      <c r="O255" s="6"/>
      <c r="P255" s="7"/>
    </row>
    <row r="256" spans="1:25" ht="14.25" customHeight="1" x14ac:dyDescent="0.35">
      <c r="A256" s="1"/>
      <c r="B256" s="3"/>
      <c r="C256" s="5"/>
      <c r="D256" s="3"/>
      <c r="E256" s="2"/>
      <c r="F256" s="6"/>
      <c r="G256" s="6"/>
      <c r="H256" s="6"/>
      <c r="I256" s="5"/>
      <c r="J256" s="5"/>
      <c r="K256" s="21"/>
      <c r="L256" s="3"/>
      <c r="M256" s="5"/>
      <c r="N256" s="5"/>
      <c r="O256" s="6"/>
      <c r="P256" s="7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4.25" customHeight="1" x14ac:dyDescent="0.35">
      <c r="A257" s="1"/>
      <c r="B257" s="3"/>
      <c r="C257" s="5"/>
      <c r="D257" s="3"/>
      <c r="E257" s="2"/>
      <c r="F257" s="6"/>
      <c r="G257" s="6"/>
      <c r="H257" s="6"/>
      <c r="I257" s="5"/>
      <c r="J257" s="5"/>
      <c r="K257" s="21"/>
      <c r="L257" s="3"/>
      <c r="M257" s="5"/>
      <c r="N257" s="5"/>
      <c r="O257" s="6"/>
      <c r="P257" s="7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4.25" customHeight="1" x14ac:dyDescent="0.35">
      <c r="A258" s="1"/>
      <c r="B258" s="3"/>
      <c r="C258" s="5"/>
      <c r="D258" s="3"/>
      <c r="E258" s="3"/>
      <c r="F258" s="26"/>
      <c r="G258" s="6"/>
      <c r="H258" s="3"/>
      <c r="I258" s="3"/>
      <c r="J258" s="2"/>
      <c r="K258" s="2"/>
      <c r="L258" s="4"/>
      <c r="M258" s="5"/>
      <c r="N258" s="6"/>
      <c r="O258" s="6"/>
      <c r="P258" s="6"/>
      <c r="Q258" s="5"/>
      <c r="R258" s="5"/>
      <c r="S258" s="5"/>
      <c r="T258" s="5"/>
      <c r="U258" s="5"/>
      <c r="V258" s="5"/>
      <c r="W258" s="5"/>
    </row>
    <row r="259" spans="1:25" ht="14.25" customHeight="1" x14ac:dyDescent="0.35">
      <c r="A259" s="176" t="s">
        <v>555</v>
      </c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8"/>
      <c r="M259" s="5"/>
      <c r="N259" s="5"/>
      <c r="O259" s="6"/>
      <c r="P259" s="7"/>
    </row>
    <row r="260" spans="1:25" ht="14.25" customHeight="1" x14ac:dyDescent="0.35">
      <c r="A260" s="1"/>
      <c r="C260" s="5"/>
      <c r="H260" s="5"/>
      <c r="I260" s="5"/>
      <c r="J260" s="2"/>
      <c r="K260" s="2"/>
      <c r="L260" s="4"/>
      <c r="M260" s="5"/>
      <c r="N260" s="5"/>
      <c r="O260" s="6"/>
      <c r="P260" s="7"/>
    </row>
    <row r="261" spans="1:25" ht="14.25" customHeight="1" x14ac:dyDescent="0.45">
      <c r="A261" s="1"/>
      <c r="B261" s="171" t="s">
        <v>556</v>
      </c>
      <c r="C261" s="172"/>
      <c r="D261" s="172"/>
      <c r="E261" s="172"/>
      <c r="F261" s="172"/>
      <c r="G261" s="172"/>
      <c r="H261" s="172"/>
      <c r="I261" s="172"/>
      <c r="J261" s="172"/>
      <c r="K261" s="18"/>
      <c r="L261" s="53"/>
      <c r="M261" s="5"/>
      <c r="N261" s="5"/>
      <c r="O261" s="6"/>
      <c r="P261" s="7"/>
    </row>
    <row r="262" spans="1:25" ht="14.25" customHeight="1" x14ac:dyDescent="0.35">
      <c r="A262" s="1"/>
      <c r="B262" s="10" t="s">
        <v>1</v>
      </c>
      <c r="C262" s="10" t="s">
        <v>2</v>
      </c>
      <c r="D262" s="10" t="s">
        <v>3</v>
      </c>
      <c r="E262" s="10" t="s">
        <v>557</v>
      </c>
      <c r="F262" s="54" t="s">
        <v>5</v>
      </c>
      <c r="G262" s="55" t="s">
        <v>6</v>
      </c>
      <c r="H262" s="10" t="s">
        <v>7</v>
      </c>
      <c r="I262" s="10" t="s">
        <v>8</v>
      </c>
      <c r="J262" s="56" t="s">
        <v>558</v>
      </c>
      <c r="K262" s="56"/>
      <c r="L262" s="57"/>
      <c r="M262" s="5"/>
      <c r="N262" s="5"/>
      <c r="O262" s="6"/>
      <c r="P262" s="7"/>
    </row>
    <row r="263" spans="1:25" ht="14.25" customHeight="1" x14ac:dyDescent="0.35">
      <c r="A263" s="2"/>
      <c r="B263" s="2"/>
      <c r="C263" s="2"/>
      <c r="D263" s="2"/>
      <c r="E263" s="2"/>
      <c r="F263" s="2"/>
      <c r="G263" s="22"/>
      <c r="H263" s="2"/>
      <c r="I263" s="2"/>
      <c r="J263" s="58"/>
      <c r="K263" s="58"/>
      <c r="L263" s="59"/>
      <c r="M263" s="5"/>
      <c r="N263" s="5"/>
      <c r="O263" s="6"/>
      <c r="P263" s="7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4.25" customHeight="1" x14ac:dyDescent="0.35">
      <c r="A264" s="1"/>
      <c r="C264" s="5"/>
      <c r="H264" s="5"/>
      <c r="I264" s="5"/>
      <c r="J264" s="2"/>
      <c r="K264" s="2"/>
      <c r="L264" s="4"/>
      <c r="M264" s="5"/>
      <c r="N264" s="5"/>
      <c r="O264" s="6"/>
      <c r="P264" s="7"/>
    </row>
    <row r="265" spans="1:25" ht="14.25" customHeight="1" x14ac:dyDescent="0.45">
      <c r="A265" s="1"/>
      <c r="B265" s="171" t="s">
        <v>559</v>
      </c>
      <c r="C265" s="172"/>
      <c r="D265" s="172"/>
      <c r="E265" s="172"/>
      <c r="F265" s="172"/>
      <c r="G265" s="172"/>
      <c r="H265" s="172"/>
      <c r="I265" s="172"/>
      <c r="J265" s="172"/>
      <c r="K265" s="18"/>
      <c r="L265" s="53"/>
      <c r="M265" s="5"/>
      <c r="N265" s="5"/>
      <c r="O265" s="6"/>
      <c r="P265" s="7"/>
    </row>
    <row r="266" spans="1:25" ht="14.25" customHeight="1" x14ac:dyDescent="0.35">
      <c r="A266" s="1"/>
      <c r="B266" s="10" t="s">
        <v>1</v>
      </c>
      <c r="C266" s="10" t="s">
        <v>2</v>
      </c>
      <c r="D266" s="10" t="s">
        <v>3</v>
      </c>
      <c r="E266" s="10" t="s">
        <v>557</v>
      </c>
      <c r="F266" s="54" t="s">
        <v>5</v>
      </c>
      <c r="G266" s="55" t="s">
        <v>6</v>
      </c>
      <c r="H266" s="10" t="s">
        <v>7</v>
      </c>
      <c r="I266" s="10" t="s">
        <v>8</v>
      </c>
      <c r="J266" s="56" t="s">
        <v>558</v>
      </c>
      <c r="K266" s="56"/>
      <c r="L266" s="57"/>
      <c r="M266" s="5"/>
      <c r="N266" s="5"/>
      <c r="O266" s="6"/>
      <c r="P266" s="7"/>
    </row>
    <row r="267" spans="1:25" ht="14.25" customHeight="1" x14ac:dyDescent="0.35">
      <c r="A267" s="2"/>
      <c r="B267" s="2"/>
      <c r="C267" s="2"/>
      <c r="D267" s="2"/>
      <c r="E267" s="2"/>
      <c r="F267" s="2"/>
      <c r="G267" s="22"/>
      <c r="H267" s="2"/>
      <c r="I267" s="2"/>
      <c r="J267" s="58"/>
      <c r="K267" s="58"/>
      <c r="L267" s="59"/>
      <c r="M267" s="5"/>
      <c r="N267" s="5"/>
      <c r="O267" s="6"/>
      <c r="P267" s="7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4.25" customHeight="1" x14ac:dyDescent="0.35">
      <c r="A268" s="1"/>
      <c r="C268" s="5"/>
      <c r="H268" s="5"/>
      <c r="I268" s="5"/>
      <c r="J268" s="2"/>
      <c r="K268" s="2"/>
      <c r="L268" s="4"/>
      <c r="M268" s="5"/>
      <c r="N268" s="5"/>
      <c r="O268" s="6"/>
      <c r="P268" s="7"/>
    </row>
    <row r="269" spans="1:25" ht="14.25" customHeight="1" x14ac:dyDescent="0.45">
      <c r="A269" s="1"/>
      <c r="B269" s="171" t="s">
        <v>560</v>
      </c>
      <c r="C269" s="172"/>
      <c r="D269" s="172"/>
      <c r="E269" s="172"/>
      <c r="F269" s="172"/>
      <c r="G269" s="172"/>
      <c r="H269" s="172"/>
      <c r="I269" s="172"/>
      <c r="J269" s="172"/>
      <c r="K269" s="18"/>
      <c r="L269" s="53"/>
      <c r="M269" s="5"/>
      <c r="N269" s="5"/>
      <c r="O269" s="6"/>
      <c r="P269" s="7"/>
    </row>
    <row r="270" spans="1:25" ht="14.25" customHeight="1" x14ac:dyDescent="0.35">
      <c r="A270" s="1"/>
      <c r="B270" s="10" t="s">
        <v>1</v>
      </c>
      <c r="C270" s="10" t="s">
        <v>2</v>
      </c>
      <c r="D270" s="10" t="s">
        <v>3</v>
      </c>
      <c r="E270" s="10" t="s">
        <v>557</v>
      </c>
      <c r="F270" s="54" t="s">
        <v>5</v>
      </c>
      <c r="G270" s="55" t="s">
        <v>6</v>
      </c>
      <c r="H270" s="10" t="s">
        <v>7</v>
      </c>
      <c r="I270" s="10" t="s">
        <v>8</v>
      </c>
      <c r="J270" s="56" t="s">
        <v>558</v>
      </c>
      <c r="K270" s="56"/>
      <c r="L270" s="57"/>
      <c r="M270" s="5"/>
      <c r="N270" s="5"/>
      <c r="O270" s="6"/>
      <c r="P270" s="7"/>
    </row>
    <row r="271" spans="1:25" ht="14.25" customHeight="1" x14ac:dyDescent="0.35">
      <c r="A271" s="2"/>
      <c r="B271" s="2"/>
      <c r="C271" s="2"/>
      <c r="D271" s="2"/>
      <c r="E271" s="2"/>
      <c r="F271" s="2"/>
      <c r="G271" s="22"/>
      <c r="H271" s="2"/>
      <c r="I271" s="2"/>
      <c r="J271" s="58"/>
      <c r="K271" s="58"/>
      <c r="L271" s="59"/>
      <c r="M271" s="5"/>
      <c r="N271" s="5"/>
      <c r="O271" s="6"/>
      <c r="P271" s="7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4.25" customHeight="1" x14ac:dyDescent="0.35">
      <c r="A272" s="2"/>
      <c r="B272" s="3"/>
      <c r="C272" s="3"/>
      <c r="D272" s="18"/>
      <c r="E272" s="18"/>
      <c r="F272" s="23"/>
      <c r="G272" s="18"/>
      <c r="H272" s="18"/>
      <c r="I272" s="18"/>
      <c r="J272" s="18"/>
      <c r="K272" s="18"/>
      <c r="L272" s="18"/>
      <c r="M272" s="6"/>
      <c r="N272" s="5"/>
      <c r="O272" s="6"/>
      <c r="P272" s="7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4.25" customHeight="1" x14ac:dyDescent="0.45">
      <c r="A273" s="1"/>
      <c r="B273" s="171" t="s">
        <v>561</v>
      </c>
      <c r="C273" s="172"/>
      <c r="D273" s="172"/>
      <c r="E273" s="172"/>
      <c r="F273" s="172"/>
      <c r="G273" s="172"/>
      <c r="H273" s="172"/>
      <c r="I273" s="172"/>
      <c r="J273" s="172"/>
      <c r="K273" s="18"/>
      <c r="L273" s="53"/>
      <c r="M273" s="5"/>
      <c r="N273" s="5"/>
      <c r="O273" s="6"/>
      <c r="P273" s="7"/>
    </row>
    <row r="274" spans="1:25" ht="14.25" customHeight="1" x14ac:dyDescent="0.35">
      <c r="A274" s="1"/>
      <c r="B274" s="10" t="s">
        <v>1</v>
      </c>
      <c r="C274" s="10" t="s">
        <v>2</v>
      </c>
      <c r="D274" s="10" t="s">
        <v>3</v>
      </c>
      <c r="E274" s="10" t="s">
        <v>557</v>
      </c>
      <c r="F274" s="54" t="s">
        <v>5</v>
      </c>
      <c r="G274" s="55" t="s">
        <v>6</v>
      </c>
      <c r="H274" s="10" t="s">
        <v>7</v>
      </c>
      <c r="I274" s="10" t="s">
        <v>8</v>
      </c>
      <c r="J274" s="56" t="s">
        <v>558</v>
      </c>
      <c r="K274" s="56"/>
      <c r="L274" s="57"/>
      <c r="M274" s="5"/>
      <c r="N274" s="5"/>
      <c r="O274" s="6"/>
      <c r="P274" s="7"/>
    </row>
    <row r="275" spans="1:25" ht="14.25" customHeight="1" x14ac:dyDescent="0.35">
      <c r="A275" s="1"/>
      <c r="B275" s="3"/>
      <c r="C275" s="3"/>
      <c r="D275" s="2"/>
      <c r="E275" s="2"/>
      <c r="F275" s="2"/>
      <c r="G275" s="23"/>
      <c r="H275" s="2"/>
      <c r="I275" s="5"/>
      <c r="J275" s="58"/>
      <c r="K275" s="58"/>
      <c r="L275" s="4"/>
      <c r="M275" s="5"/>
      <c r="N275" s="5"/>
      <c r="O275" s="6"/>
      <c r="P275" s="6"/>
      <c r="Q275" s="5"/>
      <c r="R275" s="5"/>
      <c r="S275" s="5"/>
      <c r="T275" s="5"/>
      <c r="U275" s="5"/>
      <c r="V275" s="5"/>
      <c r="W275" s="5"/>
      <c r="X275" s="5"/>
    </row>
    <row r="276" spans="1:25" ht="14.25" customHeight="1" x14ac:dyDescent="0.35">
      <c r="A276" s="2"/>
      <c r="B276" s="2"/>
      <c r="C276" s="2"/>
      <c r="D276" s="3"/>
      <c r="E276" s="2"/>
      <c r="F276" s="22"/>
      <c r="G276" s="6"/>
      <c r="H276" s="2"/>
      <c r="I276" s="2"/>
      <c r="J276" s="2"/>
      <c r="K276" s="2"/>
      <c r="L276" s="4"/>
      <c r="M276" s="5"/>
      <c r="N276" s="5"/>
      <c r="O276" s="6"/>
      <c r="P276" s="7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4.25" customHeight="1" x14ac:dyDescent="0.45">
      <c r="A277" s="1"/>
      <c r="B277" s="171" t="s">
        <v>562</v>
      </c>
      <c r="C277" s="172"/>
      <c r="D277" s="172"/>
      <c r="E277" s="172"/>
      <c r="F277" s="172"/>
      <c r="G277" s="172"/>
      <c r="H277" s="172"/>
      <c r="I277" s="172"/>
      <c r="J277" s="172"/>
      <c r="K277" s="18"/>
      <c r="L277" s="4"/>
      <c r="M277" s="5"/>
      <c r="N277" s="5"/>
      <c r="O277" s="6"/>
      <c r="P277" s="7"/>
    </row>
    <row r="278" spans="1:25" ht="14.25" customHeight="1" x14ac:dyDescent="0.35">
      <c r="A278" s="1"/>
      <c r="B278" s="10" t="s">
        <v>1</v>
      </c>
      <c r="C278" s="10" t="s">
        <v>2</v>
      </c>
      <c r="D278" s="10" t="s">
        <v>3</v>
      </c>
      <c r="E278" s="10" t="s">
        <v>557</v>
      </c>
      <c r="F278" s="54" t="s">
        <v>5</v>
      </c>
      <c r="G278" s="55" t="s">
        <v>6</v>
      </c>
      <c r="H278" s="10" t="s">
        <v>7</v>
      </c>
      <c r="I278" s="10" t="s">
        <v>8</v>
      </c>
      <c r="J278" s="56" t="s">
        <v>558</v>
      </c>
      <c r="K278" s="56"/>
      <c r="L278" s="57"/>
      <c r="M278" s="5"/>
      <c r="N278" s="5"/>
      <c r="O278" s="6"/>
      <c r="P278" s="7"/>
    </row>
    <row r="279" spans="1:25" ht="14.25" customHeight="1" x14ac:dyDescent="0.35">
      <c r="A279" s="2"/>
      <c r="B279" s="2"/>
      <c r="C279" s="2"/>
      <c r="D279" s="3"/>
      <c r="E279" s="2"/>
      <c r="F279" s="22"/>
      <c r="G279" s="6"/>
      <c r="H279" s="2"/>
      <c r="I279" s="2"/>
      <c r="J279" s="2"/>
      <c r="K279" s="2"/>
      <c r="L279" s="4"/>
      <c r="M279" s="5"/>
      <c r="N279" s="5"/>
      <c r="O279" s="6"/>
      <c r="P279" s="7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4.25" customHeight="1" x14ac:dyDescent="0.35">
      <c r="A280" s="2"/>
      <c r="B280" s="5"/>
      <c r="C280" s="5"/>
      <c r="D280" s="3"/>
      <c r="E280" s="5"/>
      <c r="F280" s="24"/>
      <c r="G280" s="24"/>
      <c r="H280" s="6"/>
      <c r="I280" s="24"/>
      <c r="J280" s="58"/>
      <c r="K280" s="58"/>
      <c r="L280" s="4"/>
      <c r="M280" s="5"/>
      <c r="N280" s="5"/>
      <c r="O280" s="6"/>
      <c r="P280" s="7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4.25" customHeight="1" x14ac:dyDescent="0.45">
      <c r="A281" s="1"/>
      <c r="B281" s="171" t="s">
        <v>563</v>
      </c>
      <c r="C281" s="172"/>
      <c r="D281" s="172"/>
      <c r="E281" s="172"/>
      <c r="F281" s="172"/>
      <c r="G281" s="172"/>
      <c r="H281" s="172"/>
      <c r="I281" s="172"/>
      <c r="J281" s="172"/>
      <c r="K281" s="18"/>
      <c r="L281" s="4"/>
      <c r="M281" s="5"/>
      <c r="N281" s="5"/>
      <c r="O281" s="6"/>
      <c r="P281" s="7"/>
    </row>
    <row r="282" spans="1:25" ht="14.25" customHeight="1" x14ac:dyDescent="0.35">
      <c r="A282" s="1"/>
      <c r="B282" s="10" t="s">
        <v>1</v>
      </c>
      <c r="C282" s="10" t="s">
        <v>2</v>
      </c>
      <c r="D282" s="10" t="s">
        <v>3</v>
      </c>
      <c r="E282" s="10" t="s">
        <v>557</v>
      </c>
      <c r="F282" s="54" t="s">
        <v>5</v>
      </c>
      <c r="G282" s="55" t="s">
        <v>6</v>
      </c>
      <c r="H282" s="10" t="s">
        <v>7</v>
      </c>
      <c r="I282" s="10" t="s">
        <v>8</v>
      </c>
      <c r="J282" s="56" t="s">
        <v>558</v>
      </c>
      <c r="K282" s="56"/>
      <c r="L282" s="57"/>
      <c r="M282" s="5"/>
      <c r="N282" s="5"/>
      <c r="O282" s="6"/>
      <c r="P282" s="7"/>
    </row>
    <row r="283" spans="1:25" ht="14.25" customHeight="1" x14ac:dyDescent="0.35">
      <c r="A283" s="1"/>
      <c r="B283" s="5"/>
      <c r="C283" s="5"/>
      <c r="D283" s="5"/>
      <c r="E283" s="5"/>
      <c r="F283" s="23"/>
      <c r="G283" s="23"/>
      <c r="H283" s="6"/>
      <c r="I283" s="24"/>
      <c r="J283" s="58"/>
      <c r="K283" s="58"/>
      <c r="L283" s="4"/>
      <c r="M283" s="5"/>
      <c r="N283" s="5"/>
      <c r="O283" s="6"/>
      <c r="P283" s="7"/>
    </row>
    <row r="284" spans="1:25" ht="14.25" customHeight="1" x14ac:dyDescent="0.35">
      <c r="A284" s="1"/>
      <c r="B284" s="3"/>
      <c r="C284" s="3"/>
      <c r="D284" s="2"/>
      <c r="E284" s="2"/>
      <c r="F284" s="2"/>
      <c r="G284" s="23"/>
      <c r="H284" s="2"/>
      <c r="I284" s="5"/>
      <c r="J284" s="2"/>
      <c r="K284" s="2"/>
      <c r="L284" s="4"/>
      <c r="M284" s="5"/>
      <c r="N284" s="5"/>
      <c r="O284" s="6"/>
      <c r="P284" s="6"/>
      <c r="Q284" s="5"/>
      <c r="R284" s="5"/>
      <c r="S284" s="5"/>
      <c r="T284" s="5"/>
      <c r="U284" s="5"/>
      <c r="V284" s="5"/>
      <c r="W284" s="5"/>
      <c r="X284" s="5"/>
    </row>
    <row r="285" spans="1:25" ht="14.25" customHeight="1" x14ac:dyDescent="0.45">
      <c r="A285" s="1"/>
      <c r="B285" s="171" t="s">
        <v>564</v>
      </c>
      <c r="C285" s="172"/>
      <c r="D285" s="172"/>
      <c r="E285" s="172"/>
      <c r="F285" s="172"/>
      <c r="G285" s="172"/>
      <c r="H285" s="172"/>
      <c r="I285" s="172"/>
      <c r="J285" s="172"/>
      <c r="K285" s="18"/>
      <c r="L285" s="4"/>
      <c r="M285" s="5"/>
      <c r="N285" s="5"/>
      <c r="O285" s="6"/>
      <c r="P285" s="7"/>
    </row>
    <row r="286" spans="1:25" ht="14.25" customHeight="1" x14ac:dyDescent="0.35">
      <c r="A286" s="1"/>
      <c r="B286" s="10" t="s">
        <v>1</v>
      </c>
      <c r="C286" s="10" t="s">
        <v>2</v>
      </c>
      <c r="D286" s="10" t="s">
        <v>3</v>
      </c>
      <c r="E286" s="10" t="s">
        <v>557</v>
      </c>
      <c r="F286" s="54" t="s">
        <v>5</v>
      </c>
      <c r="G286" s="55" t="s">
        <v>6</v>
      </c>
      <c r="H286" s="10" t="s">
        <v>7</v>
      </c>
      <c r="I286" s="10" t="s">
        <v>8</v>
      </c>
      <c r="J286" s="56" t="s">
        <v>558</v>
      </c>
      <c r="K286" s="56"/>
      <c r="L286" s="57"/>
      <c r="M286" s="5"/>
      <c r="N286" s="5"/>
      <c r="O286" s="6"/>
      <c r="P286" s="7"/>
    </row>
    <row r="287" spans="1:25" ht="14.25" customHeight="1" x14ac:dyDescent="0.35">
      <c r="A287" s="1"/>
      <c r="B287" s="1"/>
      <c r="C287" s="1"/>
      <c r="D287" s="1"/>
      <c r="E287" s="1"/>
      <c r="F287" s="1"/>
      <c r="G287" s="55"/>
      <c r="H287" s="1"/>
      <c r="I287" s="1"/>
      <c r="J287" s="1"/>
      <c r="K287" s="1"/>
      <c r="L287" s="4"/>
      <c r="M287" s="5"/>
      <c r="N287" s="5"/>
      <c r="O287" s="6"/>
      <c r="P287" s="7"/>
    </row>
    <row r="288" spans="1:25" ht="14.25" customHeight="1" x14ac:dyDescent="0.35">
      <c r="A288" s="1"/>
      <c r="C288" s="5"/>
      <c r="H288" s="5"/>
      <c r="I288" s="5"/>
      <c r="J288" s="2"/>
      <c r="K288" s="2"/>
      <c r="L288" s="4"/>
      <c r="M288" s="5"/>
      <c r="N288" s="5"/>
      <c r="O288" s="6"/>
      <c r="P288" s="7"/>
    </row>
    <row r="289" spans="1:25" ht="14.25" customHeight="1" x14ac:dyDescent="0.45">
      <c r="A289" s="1"/>
      <c r="B289" s="171" t="s">
        <v>565</v>
      </c>
      <c r="C289" s="172"/>
      <c r="D289" s="172"/>
      <c r="E289" s="172"/>
      <c r="F289" s="172"/>
      <c r="G289" s="172"/>
      <c r="H289" s="172"/>
      <c r="I289" s="172"/>
      <c r="J289" s="172"/>
      <c r="K289" s="18"/>
      <c r="L289" s="4"/>
      <c r="M289" s="5"/>
      <c r="N289" s="5"/>
      <c r="O289" s="6"/>
      <c r="P289" s="7"/>
    </row>
    <row r="290" spans="1:25" ht="14.25" customHeight="1" x14ac:dyDescent="0.35">
      <c r="A290" s="1"/>
      <c r="B290" s="10" t="s">
        <v>1</v>
      </c>
      <c r="C290" s="10" t="s">
        <v>2</v>
      </c>
      <c r="D290" s="10" t="s">
        <v>3</v>
      </c>
      <c r="E290" s="10" t="s">
        <v>557</v>
      </c>
      <c r="F290" s="54" t="s">
        <v>5</v>
      </c>
      <c r="G290" s="55" t="s">
        <v>6</v>
      </c>
      <c r="H290" s="10" t="s">
        <v>7</v>
      </c>
      <c r="I290" s="10" t="s">
        <v>8</v>
      </c>
      <c r="J290" s="56" t="s">
        <v>558</v>
      </c>
      <c r="K290" s="56"/>
      <c r="L290" s="57"/>
      <c r="M290" s="5"/>
      <c r="N290" s="5"/>
      <c r="O290" s="6"/>
      <c r="P290" s="7"/>
    </row>
    <row r="291" spans="1:25" ht="14.25" customHeight="1" x14ac:dyDescent="0.35">
      <c r="A291" s="1"/>
      <c r="B291" s="1"/>
      <c r="C291" s="1"/>
      <c r="D291" s="1"/>
      <c r="E291" s="1"/>
      <c r="F291" s="22">
        <v>79333</v>
      </c>
      <c r="G291" s="6">
        <f>((F291)*1.5)+3082+11250</f>
        <v>133331.5</v>
      </c>
      <c r="H291" s="2"/>
      <c r="I291" s="1"/>
      <c r="J291" s="1"/>
      <c r="K291" s="1"/>
      <c r="L291" s="4"/>
      <c r="M291" s="5"/>
      <c r="N291" s="5"/>
      <c r="O291" s="6"/>
      <c r="P291" s="7"/>
    </row>
    <row r="292" spans="1:25" ht="14.25" customHeight="1" x14ac:dyDescent="0.35">
      <c r="A292" s="1"/>
      <c r="B292" s="3"/>
      <c r="C292" s="3"/>
      <c r="D292" s="3"/>
      <c r="E292" s="3"/>
      <c r="F292" s="2"/>
      <c r="G292" s="23"/>
      <c r="H292" s="3"/>
      <c r="I292" s="5"/>
      <c r="J292" s="58"/>
      <c r="K292" s="58"/>
      <c r="L292" s="4"/>
      <c r="M292" s="5"/>
      <c r="N292" s="5"/>
      <c r="O292" s="6"/>
      <c r="P292" s="7"/>
    </row>
    <row r="293" spans="1:25" ht="14.25" customHeight="1" x14ac:dyDescent="0.45">
      <c r="A293" s="1"/>
      <c r="B293" s="171" t="s">
        <v>566</v>
      </c>
      <c r="C293" s="172"/>
      <c r="D293" s="172"/>
      <c r="E293" s="172"/>
      <c r="F293" s="172"/>
      <c r="G293" s="172"/>
      <c r="H293" s="172"/>
      <c r="I293" s="172"/>
      <c r="J293" s="172"/>
      <c r="K293" s="18"/>
      <c r="L293" s="4"/>
      <c r="M293" s="5"/>
      <c r="N293" s="5"/>
      <c r="O293" s="6"/>
      <c r="P293" s="7"/>
    </row>
    <row r="294" spans="1:25" ht="14.25" customHeight="1" x14ac:dyDescent="0.35">
      <c r="A294" s="1"/>
      <c r="B294" s="10" t="s">
        <v>1</v>
      </c>
      <c r="C294" s="10" t="s">
        <v>2</v>
      </c>
      <c r="D294" s="10" t="s">
        <v>3</v>
      </c>
      <c r="E294" s="10" t="s">
        <v>557</v>
      </c>
      <c r="F294" s="54" t="s">
        <v>5</v>
      </c>
      <c r="G294" s="55" t="s">
        <v>6</v>
      </c>
      <c r="H294" s="10" t="s">
        <v>7</v>
      </c>
      <c r="I294" s="10" t="s">
        <v>8</v>
      </c>
      <c r="J294" s="56" t="s">
        <v>558</v>
      </c>
      <c r="K294" s="56"/>
      <c r="L294" s="57"/>
      <c r="M294" s="5"/>
      <c r="N294" s="5"/>
      <c r="O294" s="6"/>
      <c r="P294" s="7"/>
    </row>
    <row r="295" spans="1:25" ht="14.25" customHeight="1" x14ac:dyDescent="0.35">
      <c r="A295" s="3"/>
      <c r="B295" s="3"/>
      <c r="C295" s="3"/>
      <c r="D295" s="3"/>
      <c r="E295" s="3"/>
      <c r="F295" s="26"/>
      <c r="G295" s="6"/>
      <c r="H295" s="3"/>
      <c r="I295" s="3"/>
      <c r="J295" s="3"/>
      <c r="K295" s="3"/>
      <c r="L295" s="59"/>
      <c r="M295" s="3"/>
      <c r="N295" s="3"/>
      <c r="O295" s="26"/>
      <c r="P295" s="60"/>
      <c r="Q295" s="61"/>
      <c r="R295" s="61"/>
      <c r="S295" s="61"/>
      <c r="T295" s="61"/>
      <c r="U295" s="61"/>
      <c r="V295" s="61"/>
      <c r="W295" s="61"/>
      <c r="X295" s="61"/>
      <c r="Y295" s="61"/>
    </row>
    <row r="296" spans="1:25" ht="14.2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62"/>
      <c r="K296" s="62"/>
      <c r="L296" s="59"/>
      <c r="M296" s="3"/>
      <c r="N296" s="3"/>
      <c r="O296" s="26"/>
      <c r="P296" s="26"/>
      <c r="Q296" s="3"/>
      <c r="R296" s="3"/>
      <c r="S296" s="3"/>
      <c r="T296" s="3"/>
      <c r="U296" s="3"/>
      <c r="V296" s="3"/>
      <c r="W296" s="3"/>
      <c r="X296" s="3"/>
      <c r="Y296" s="61"/>
    </row>
    <row r="297" spans="1:25" ht="14.25" customHeight="1" x14ac:dyDescent="0.45">
      <c r="A297" s="1"/>
      <c r="B297" s="171" t="s">
        <v>567</v>
      </c>
      <c r="C297" s="172"/>
      <c r="D297" s="172"/>
      <c r="E297" s="172"/>
      <c r="F297" s="172"/>
      <c r="G297" s="172"/>
      <c r="H297" s="172"/>
      <c r="I297" s="172"/>
      <c r="J297" s="172"/>
      <c r="K297" s="18"/>
      <c r="L297" s="4"/>
      <c r="M297" s="5"/>
      <c r="N297" s="5"/>
      <c r="O297" s="6"/>
      <c r="P297" s="7"/>
    </row>
    <row r="298" spans="1:25" ht="14.25" customHeight="1" x14ac:dyDescent="0.35">
      <c r="A298" s="1"/>
      <c r="B298" s="10" t="s">
        <v>1</v>
      </c>
      <c r="C298" s="10" t="s">
        <v>2</v>
      </c>
      <c r="D298" s="10" t="s">
        <v>3</v>
      </c>
      <c r="E298" s="10" t="s">
        <v>557</v>
      </c>
      <c r="F298" s="54" t="s">
        <v>5</v>
      </c>
      <c r="G298" s="55" t="s">
        <v>6</v>
      </c>
      <c r="H298" s="10" t="s">
        <v>7</v>
      </c>
      <c r="I298" s="10" t="s">
        <v>8</v>
      </c>
      <c r="J298" s="56" t="s">
        <v>558</v>
      </c>
      <c r="K298" s="56"/>
      <c r="L298" s="57"/>
      <c r="M298" s="5"/>
      <c r="N298" s="5"/>
      <c r="O298" s="6"/>
      <c r="P298" s="7"/>
    </row>
    <row r="299" spans="1:25" ht="14.25" customHeight="1" x14ac:dyDescent="0.35">
      <c r="A299" s="1"/>
      <c r="C299" s="5"/>
      <c r="G299" s="5"/>
      <c r="H299" s="5"/>
      <c r="I299" s="5"/>
      <c r="J299" s="2"/>
      <c r="K299" s="2"/>
      <c r="L299" s="4"/>
      <c r="M299" s="5"/>
      <c r="N299" s="5"/>
      <c r="O299" s="6"/>
      <c r="P299" s="7"/>
    </row>
    <row r="300" spans="1:25" ht="14.25" customHeight="1" x14ac:dyDescent="0.35">
      <c r="A300" s="1"/>
      <c r="C300" s="5"/>
      <c r="G300" s="5"/>
      <c r="H300" s="5"/>
      <c r="I300" s="5"/>
      <c r="J300" s="2"/>
      <c r="K300" s="2"/>
      <c r="L300" s="4"/>
      <c r="M300" s="5"/>
      <c r="N300" s="5"/>
      <c r="O300" s="6"/>
      <c r="P300" s="7"/>
    </row>
    <row r="301" spans="1:25" ht="14.25" customHeight="1" x14ac:dyDescent="0.35">
      <c r="A301" s="1"/>
      <c r="C301" s="5"/>
      <c r="H301" s="5"/>
      <c r="I301" s="5"/>
      <c r="J301" s="2"/>
      <c r="K301" s="2"/>
      <c r="L301" s="4"/>
      <c r="M301" s="5"/>
      <c r="N301" s="5"/>
      <c r="O301" s="6"/>
      <c r="P301" s="7"/>
    </row>
    <row r="302" spans="1:25" ht="14.25" customHeight="1" x14ac:dyDescent="0.35">
      <c r="A302" s="1"/>
      <c r="C302" s="5"/>
      <c r="H302" s="5"/>
      <c r="I302" s="5"/>
      <c r="J302" s="2"/>
      <c r="K302" s="2"/>
      <c r="L302" s="4"/>
      <c r="M302" s="5"/>
      <c r="N302" s="5"/>
      <c r="O302" s="6"/>
      <c r="P302" s="7"/>
    </row>
    <row r="303" spans="1:25" ht="14.25" customHeight="1" x14ac:dyDescent="0.35">
      <c r="A303" s="1"/>
      <c r="C303" s="5"/>
      <c r="H303" s="5"/>
      <c r="I303" s="5"/>
      <c r="J303" s="2"/>
      <c r="K303" s="2"/>
      <c r="L303" s="4"/>
      <c r="M303" s="5"/>
      <c r="N303" s="5"/>
      <c r="O303" s="6"/>
      <c r="P303" s="7"/>
    </row>
    <row r="304" spans="1:25" ht="14.25" customHeight="1" x14ac:dyDescent="0.35">
      <c r="A304" s="1"/>
      <c r="C304" s="5"/>
      <c r="H304" s="5"/>
      <c r="I304" s="5"/>
      <c r="J304" s="2"/>
      <c r="K304" s="2"/>
      <c r="L304" s="4"/>
      <c r="M304" s="5"/>
      <c r="N304" s="5"/>
      <c r="O304" s="6"/>
      <c r="P304" s="7"/>
    </row>
    <row r="305" spans="1:16" ht="14.25" customHeight="1" x14ac:dyDescent="0.35">
      <c r="A305" s="1"/>
      <c r="C305" s="5"/>
      <c r="H305" s="5"/>
      <c r="I305" s="5"/>
      <c r="J305" s="2"/>
      <c r="K305" s="2"/>
      <c r="L305" s="4"/>
      <c r="M305" s="5"/>
      <c r="N305" s="5"/>
      <c r="O305" s="6"/>
      <c r="P305" s="7"/>
    </row>
    <row r="306" spans="1:16" ht="14.25" customHeight="1" x14ac:dyDescent="0.35">
      <c r="A306" s="1"/>
      <c r="C306" s="5"/>
      <c r="H306" s="5"/>
      <c r="I306" s="5"/>
      <c r="J306" s="2"/>
      <c r="K306" s="2"/>
      <c r="L306" s="4"/>
      <c r="M306" s="5"/>
      <c r="N306" s="5"/>
      <c r="O306" s="6"/>
      <c r="P306" s="7"/>
    </row>
    <row r="307" spans="1:16" ht="14.25" customHeight="1" x14ac:dyDescent="0.35">
      <c r="A307" s="1"/>
      <c r="C307" s="5"/>
      <c r="H307" s="5"/>
      <c r="I307" s="5"/>
      <c r="J307" s="2"/>
      <c r="K307" s="2"/>
      <c r="L307" s="4"/>
      <c r="M307" s="5"/>
      <c r="N307" s="5"/>
      <c r="O307" s="6"/>
    </row>
    <row r="308" spans="1:16" ht="14.25" customHeight="1" x14ac:dyDescent="0.35">
      <c r="A308" s="1"/>
      <c r="C308" s="5"/>
      <c r="H308" s="5"/>
      <c r="I308" s="5"/>
      <c r="J308" s="2"/>
      <c r="K308" s="2"/>
      <c r="L308" s="4"/>
      <c r="M308" s="5"/>
      <c r="N308" s="5"/>
      <c r="O308" s="6"/>
    </row>
    <row r="309" spans="1:16" ht="14.25" customHeight="1" x14ac:dyDescent="0.35">
      <c r="A309" s="1"/>
      <c r="C309" s="5"/>
      <c r="H309" s="5"/>
      <c r="I309" s="5"/>
      <c r="J309" s="2"/>
      <c r="K309" s="2"/>
      <c r="L309" s="4"/>
      <c r="M309" s="5"/>
      <c r="N309" s="5"/>
      <c r="O309" s="6"/>
    </row>
    <row r="310" spans="1:16" ht="14.25" customHeight="1" x14ac:dyDescent="0.35">
      <c r="A310" s="1"/>
      <c r="C310" s="5"/>
      <c r="H310" s="5"/>
      <c r="I310" s="5"/>
      <c r="J310" s="2"/>
      <c r="K310" s="2"/>
      <c r="L310" s="4"/>
      <c r="M310" s="5"/>
      <c r="N310" s="5"/>
      <c r="O310" s="6"/>
    </row>
    <row r="311" spans="1:16" ht="14.25" customHeight="1" x14ac:dyDescent="0.35">
      <c r="A311" s="1"/>
      <c r="C311" s="5"/>
      <c r="H311" s="5"/>
      <c r="I311" s="5"/>
      <c r="J311" s="2"/>
      <c r="K311" s="2"/>
      <c r="L311" s="4"/>
      <c r="M311" s="5"/>
      <c r="N311" s="5"/>
      <c r="O311" s="6"/>
    </row>
    <row r="312" spans="1:16" ht="14.25" customHeight="1" x14ac:dyDescent="0.35">
      <c r="A312" s="1"/>
      <c r="C312" s="5"/>
      <c r="H312" s="5"/>
      <c r="I312" s="5"/>
      <c r="J312" s="2"/>
      <c r="K312" s="2"/>
      <c r="L312" s="4"/>
      <c r="M312" s="5"/>
      <c r="N312" s="5"/>
      <c r="O312" s="6"/>
    </row>
    <row r="313" spans="1:16" ht="14.25" customHeight="1" x14ac:dyDescent="0.35">
      <c r="A313" s="1"/>
      <c r="C313" s="5"/>
      <c r="H313" s="5"/>
      <c r="I313" s="5"/>
      <c r="J313" s="2"/>
      <c r="K313" s="2"/>
      <c r="L313" s="4"/>
      <c r="M313" s="5"/>
      <c r="N313" s="5"/>
      <c r="O313" s="6"/>
    </row>
    <row r="314" spans="1:16" ht="14.25" customHeight="1" x14ac:dyDescent="0.35">
      <c r="A314" s="1"/>
      <c r="C314" s="5"/>
      <c r="H314" s="5"/>
      <c r="I314" s="5"/>
      <c r="J314" s="2"/>
      <c r="K314" s="2"/>
      <c r="L314" s="4"/>
      <c r="M314" s="5"/>
      <c r="N314" s="5"/>
      <c r="O314" s="6"/>
    </row>
    <row r="315" spans="1:16" ht="14.25" customHeight="1" x14ac:dyDescent="0.35">
      <c r="A315" s="1"/>
      <c r="C315" s="5"/>
      <c r="H315" s="5"/>
      <c r="I315" s="5"/>
      <c r="J315" s="2"/>
      <c r="K315" s="2"/>
      <c r="L315" s="4"/>
      <c r="M315" s="5"/>
      <c r="N315" s="5"/>
      <c r="O315" s="6"/>
    </row>
    <row r="316" spans="1:16" ht="14.25" customHeight="1" x14ac:dyDescent="0.35">
      <c r="A316" s="1"/>
      <c r="C316" s="5"/>
      <c r="H316" s="5"/>
      <c r="I316" s="5"/>
      <c r="J316" s="2"/>
      <c r="K316" s="2"/>
      <c r="L316" s="4"/>
      <c r="M316" s="5"/>
      <c r="N316" s="5"/>
      <c r="O316" s="6"/>
    </row>
    <row r="317" spans="1:16" ht="14.25" customHeight="1" x14ac:dyDescent="0.35">
      <c r="A317" s="1"/>
      <c r="C317" s="5"/>
      <c r="H317" s="5"/>
      <c r="I317" s="5"/>
      <c r="J317" s="2"/>
      <c r="K317" s="2"/>
      <c r="L317" s="4"/>
      <c r="M317" s="5"/>
      <c r="N317" s="5"/>
      <c r="O317" s="6"/>
    </row>
    <row r="318" spans="1:16" ht="14.25" customHeight="1" x14ac:dyDescent="0.35">
      <c r="A318" s="1"/>
      <c r="C318" s="5"/>
      <c r="H318" s="5"/>
      <c r="I318" s="5"/>
      <c r="J318" s="2"/>
      <c r="K318" s="2"/>
      <c r="L318" s="4"/>
      <c r="M318" s="5"/>
      <c r="N318" s="5"/>
      <c r="O318" s="6"/>
    </row>
    <row r="319" spans="1:16" ht="14.25" customHeight="1" x14ac:dyDescent="0.35">
      <c r="A319" s="1"/>
      <c r="C319" s="5"/>
      <c r="H319" s="5"/>
      <c r="I319" s="5"/>
      <c r="J319" s="2"/>
      <c r="K319" s="2"/>
      <c r="L319" s="4"/>
      <c r="M319" s="5"/>
      <c r="N319" s="5"/>
      <c r="O319" s="6"/>
    </row>
    <row r="320" spans="1:16" ht="14.25" customHeight="1" x14ac:dyDescent="0.35">
      <c r="A320" s="1"/>
      <c r="C320" s="5"/>
      <c r="H320" s="5"/>
      <c r="I320" s="5"/>
      <c r="J320" s="2"/>
      <c r="K320" s="2"/>
      <c r="L320" s="4"/>
      <c r="M320" s="5"/>
      <c r="N320" s="5"/>
      <c r="O320" s="6"/>
    </row>
    <row r="321" spans="1:15" ht="14.25" customHeight="1" x14ac:dyDescent="0.35">
      <c r="A321" s="1"/>
      <c r="C321" s="5"/>
      <c r="H321" s="5"/>
      <c r="I321" s="5"/>
      <c r="J321" s="2"/>
      <c r="K321" s="2"/>
      <c r="L321" s="4"/>
      <c r="M321" s="5"/>
      <c r="N321" s="5"/>
      <c r="O321" s="6"/>
    </row>
    <row r="322" spans="1:15" ht="14.25" customHeight="1" x14ac:dyDescent="0.35">
      <c r="A322" s="1"/>
      <c r="C322" s="5"/>
      <c r="H322" s="5"/>
      <c r="I322" s="5"/>
      <c r="J322" s="2"/>
      <c r="K322" s="2"/>
      <c r="L322" s="4"/>
      <c r="M322" s="5"/>
      <c r="N322" s="5"/>
      <c r="O322" s="6"/>
    </row>
    <row r="323" spans="1:15" ht="14.25" customHeight="1" x14ac:dyDescent="0.35">
      <c r="A323" s="1"/>
      <c r="C323" s="5"/>
      <c r="H323" s="5"/>
      <c r="I323" s="5"/>
      <c r="J323" s="2"/>
      <c r="K323" s="2"/>
      <c r="L323" s="4"/>
      <c r="M323" s="5"/>
      <c r="N323" s="5"/>
      <c r="O323" s="6"/>
    </row>
    <row r="324" spans="1:15" ht="14.25" customHeight="1" x14ac:dyDescent="0.35">
      <c r="A324" s="1"/>
      <c r="C324" s="5"/>
      <c r="H324" s="5"/>
      <c r="I324" s="5"/>
      <c r="J324" s="2"/>
      <c r="K324" s="2"/>
      <c r="L324" s="4"/>
      <c r="M324" s="5"/>
      <c r="N324" s="5"/>
      <c r="O324" s="6"/>
    </row>
    <row r="325" spans="1:15" ht="14.25" customHeight="1" x14ac:dyDescent="0.35">
      <c r="A325" s="1"/>
      <c r="C325" s="5"/>
      <c r="H325" s="5"/>
      <c r="I325" s="5"/>
      <c r="J325" s="2"/>
      <c r="K325" s="2"/>
      <c r="L325" s="4"/>
      <c r="M325" s="5"/>
      <c r="N325" s="5"/>
      <c r="O325" s="6"/>
    </row>
    <row r="326" spans="1:15" ht="14.25" customHeight="1" x14ac:dyDescent="0.35">
      <c r="A326" s="1"/>
      <c r="C326" s="5"/>
      <c r="H326" s="5"/>
      <c r="I326" s="5"/>
      <c r="J326" s="2"/>
      <c r="K326" s="2"/>
      <c r="L326" s="4"/>
      <c r="M326" s="5"/>
      <c r="N326" s="5"/>
      <c r="O326" s="6"/>
    </row>
    <row r="327" spans="1:15" ht="14.25" customHeight="1" x14ac:dyDescent="0.35">
      <c r="A327" s="1"/>
      <c r="C327" s="5"/>
      <c r="H327" s="5"/>
      <c r="I327" s="5"/>
      <c r="J327" s="2"/>
      <c r="K327" s="2"/>
      <c r="L327" s="4"/>
      <c r="M327" s="5"/>
      <c r="N327" s="5"/>
      <c r="O327" s="6"/>
    </row>
    <row r="328" spans="1:15" ht="14.25" customHeight="1" x14ac:dyDescent="0.35">
      <c r="A328" s="1"/>
      <c r="C328" s="5"/>
      <c r="H328" s="5"/>
      <c r="I328" s="5"/>
      <c r="J328" s="2"/>
      <c r="K328" s="2"/>
      <c r="L328" s="4"/>
      <c r="M328" s="5"/>
      <c r="N328" s="5"/>
      <c r="O328" s="6"/>
    </row>
    <row r="329" spans="1:15" ht="14.25" customHeight="1" x14ac:dyDescent="0.35">
      <c r="A329" s="1"/>
      <c r="C329" s="5"/>
      <c r="H329" s="5"/>
      <c r="I329" s="5"/>
      <c r="J329" s="2"/>
      <c r="K329" s="2"/>
      <c r="L329" s="4"/>
      <c r="M329" s="5"/>
      <c r="N329" s="5"/>
      <c r="O329" s="6"/>
    </row>
    <row r="330" spans="1:15" ht="14.25" customHeight="1" x14ac:dyDescent="0.35">
      <c r="A330" s="1"/>
      <c r="C330" s="5"/>
      <c r="H330" s="5"/>
      <c r="I330" s="5"/>
      <c r="J330" s="2"/>
      <c r="K330" s="2"/>
      <c r="L330" s="4"/>
      <c r="M330" s="5"/>
      <c r="N330" s="5"/>
      <c r="O330" s="6"/>
    </row>
    <row r="331" spans="1:15" ht="14.25" customHeight="1" x14ac:dyDescent="0.35">
      <c r="A331" s="1"/>
      <c r="C331" s="5"/>
      <c r="H331" s="5"/>
      <c r="I331" s="5"/>
      <c r="J331" s="2"/>
      <c r="K331" s="2"/>
      <c r="L331" s="4"/>
      <c r="M331" s="5"/>
      <c r="N331" s="5"/>
      <c r="O331" s="6"/>
    </row>
    <row r="332" spans="1:15" ht="14.25" customHeight="1" x14ac:dyDescent="0.35">
      <c r="A332" s="1"/>
      <c r="C332" s="5"/>
      <c r="H332" s="5"/>
      <c r="I332" s="5"/>
      <c r="J332" s="2"/>
      <c r="K332" s="2"/>
      <c r="L332" s="4"/>
      <c r="M332" s="5"/>
      <c r="N332" s="5"/>
      <c r="O332" s="6"/>
    </row>
    <row r="333" spans="1:15" ht="14.25" customHeight="1" x14ac:dyDescent="0.35">
      <c r="A333" s="1"/>
      <c r="C333" s="5"/>
      <c r="H333" s="5"/>
      <c r="I333" s="5"/>
      <c r="J333" s="2"/>
      <c r="K333" s="2"/>
      <c r="L333" s="4"/>
      <c r="M333" s="5"/>
      <c r="N333" s="5"/>
      <c r="O333" s="6"/>
    </row>
    <row r="334" spans="1:15" ht="14.25" customHeight="1" x14ac:dyDescent="0.35">
      <c r="A334" s="1"/>
      <c r="C334" s="5"/>
      <c r="H334" s="5"/>
      <c r="I334" s="5"/>
      <c r="J334" s="2"/>
      <c r="K334" s="2"/>
      <c r="L334" s="4"/>
      <c r="M334" s="5"/>
      <c r="N334" s="5"/>
      <c r="O334" s="6"/>
    </row>
    <row r="335" spans="1:15" ht="14.25" customHeight="1" x14ac:dyDescent="0.35">
      <c r="A335" s="1"/>
      <c r="C335" s="5"/>
      <c r="H335" s="5"/>
      <c r="I335" s="5"/>
      <c r="J335" s="2"/>
      <c r="K335" s="2"/>
      <c r="L335" s="4"/>
      <c r="M335" s="5"/>
      <c r="N335" s="5"/>
      <c r="O335" s="6"/>
    </row>
    <row r="336" spans="1:15" ht="14.25" customHeight="1" x14ac:dyDescent="0.35">
      <c r="A336" s="1"/>
      <c r="C336" s="5"/>
      <c r="H336" s="5"/>
      <c r="I336" s="5"/>
      <c r="J336" s="2"/>
      <c r="K336" s="2"/>
      <c r="L336" s="4"/>
      <c r="M336" s="5"/>
      <c r="N336" s="5"/>
      <c r="O336" s="6"/>
    </row>
    <row r="337" spans="1:15" ht="14.25" customHeight="1" x14ac:dyDescent="0.35">
      <c r="A337" s="1"/>
      <c r="C337" s="5"/>
      <c r="H337" s="5"/>
      <c r="I337" s="5"/>
      <c r="J337" s="2"/>
      <c r="K337" s="2"/>
      <c r="L337" s="4"/>
      <c r="M337" s="5"/>
      <c r="N337" s="5"/>
      <c r="O337" s="6"/>
    </row>
    <row r="338" spans="1:15" ht="14.25" customHeight="1" x14ac:dyDescent="0.35">
      <c r="A338" s="1"/>
      <c r="C338" s="5"/>
      <c r="H338" s="5"/>
      <c r="I338" s="5"/>
      <c r="J338" s="2"/>
      <c r="K338" s="2"/>
      <c r="L338" s="4"/>
      <c r="M338" s="5"/>
      <c r="N338" s="5"/>
      <c r="O338" s="6"/>
    </row>
    <row r="339" spans="1:15" ht="14.25" customHeight="1" x14ac:dyDescent="0.35">
      <c r="A339" s="1"/>
      <c r="C339" s="5"/>
      <c r="H339" s="5"/>
      <c r="I339" s="5"/>
      <c r="J339" s="2"/>
      <c r="K339" s="2"/>
      <c r="L339" s="4"/>
      <c r="M339" s="5"/>
      <c r="N339" s="5"/>
      <c r="O339" s="6"/>
    </row>
    <row r="340" spans="1:15" ht="14.25" customHeight="1" x14ac:dyDescent="0.35">
      <c r="A340" s="1"/>
      <c r="C340" s="5"/>
      <c r="H340" s="5"/>
      <c r="I340" s="5"/>
      <c r="J340" s="2"/>
      <c r="K340" s="2"/>
      <c r="L340" s="4"/>
      <c r="M340" s="5"/>
      <c r="N340" s="5"/>
      <c r="O340" s="6"/>
    </row>
    <row r="341" spans="1:15" ht="14.25" customHeight="1" x14ac:dyDescent="0.35">
      <c r="A341" s="1"/>
      <c r="C341" s="5"/>
      <c r="H341" s="5"/>
      <c r="I341" s="5"/>
      <c r="J341" s="2"/>
      <c r="K341" s="2"/>
      <c r="L341" s="4"/>
      <c r="M341" s="5"/>
      <c r="N341" s="5"/>
      <c r="O341" s="6"/>
    </row>
    <row r="342" spans="1:15" ht="14.25" customHeight="1" x14ac:dyDescent="0.35">
      <c r="A342" s="1"/>
      <c r="C342" s="5"/>
      <c r="H342" s="5"/>
      <c r="I342" s="5"/>
      <c r="J342" s="2"/>
      <c r="K342" s="2"/>
      <c r="L342" s="4"/>
      <c r="M342" s="5"/>
      <c r="N342" s="5"/>
      <c r="O342" s="6"/>
    </row>
    <row r="343" spans="1:15" ht="14.25" customHeight="1" x14ac:dyDescent="0.35">
      <c r="A343" s="1"/>
      <c r="C343" s="5"/>
      <c r="H343" s="5"/>
      <c r="I343" s="5"/>
      <c r="J343" s="2"/>
      <c r="K343" s="2"/>
      <c r="L343" s="4"/>
      <c r="M343" s="5"/>
      <c r="N343" s="5"/>
      <c r="O343" s="6"/>
    </row>
    <row r="344" spans="1:15" ht="14.25" customHeight="1" x14ac:dyDescent="0.35">
      <c r="A344" s="1"/>
      <c r="C344" s="5"/>
      <c r="H344" s="5"/>
      <c r="I344" s="5"/>
      <c r="J344" s="2"/>
      <c r="K344" s="2"/>
      <c r="L344" s="4"/>
      <c r="M344" s="5"/>
      <c r="N344" s="5"/>
      <c r="O344" s="6"/>
    </row>
    <row r="345" spans="1:15" ht="14.25" customHeight="1" x14ac:dyDescent="0.35">
      <c r="A345" s="1"/>
      <c r="C345" s="5"/>
      <c r="H345" s="5"/>
      <c r="I345" s="5"/>
      <c r="J345" s="2"/>
      <c r="K345" s="2"/>
      <c r="L345" s="4"/>
      <c r="M345" s="5"/>
      <c r="N345" s="5"/>
      <c r="O345" s="6"/>
    </row>
    <row r="346" spans="1:15" ht="14.25" customHeight="1" x14ac:dyDescent="0.35">
      <c r="A346" s="1"/>
      <c r="C346" s="5"/>
      <c r="H346" s="5"/>
      <c r="I346" s="5"/>
      <c r="J346" s="2"/>
      <c r="K346" s="2"/>
      <c r="L346" s="4"/>
      <c r="M346" s="5"/>
      <c r="N346" s="5"/>
      <c r="O346" s="6"/>
    </row>
    <row r="347" spans="1:15" ht="14.25" customHeight="1" x14ac:dyDescent="0.35">
      <c r="A347" s="1"/>
      <c r="C347" s="5"/>
      <c r="H347" s="5"/>
      <c r="I347" s="5"/>
      <c r="J347" s="2"/>
      <c r="K347" s="2"/>
      <c r="L347" s="4"/>
      <c r="M347" s="5"/>
      <c r="N347" s="5"/>
      <c r="O347" s="6"/>
    </row>
    <row r="348" spans="1:15" ht="14.25" customHeight="1" x14ac:dyDescent="0.35">
      <c r="A348" s="1"/>
      <c r="C348" s="5"/>
      <c r="H348" s="5"/>
      <c r="I348" s="5"/>
      <c r="J348" s="2"/>
      <c r="K348" s="2"/>
      <c r="L348" s="4"/>
      <c r="M348" s="5"/>
      <c r="N348" s="5"/>
      <c r="O348" s="6"/>
    </row>
    <row r="349" spans="1:15" ht="14.25" customHeight="1" x14ac:dyDescent="0.35">
      <c r="A349" s="1"/>
      <c r="C349" s="5"/>
      <c r="H349" s="5"/>
      <c r="I349" s="5"/>
      <c r="J349" s="2"/>
      <c r="K349" s="2"/>
      <c r="L349" s="4"/>
      <c r="M349" s="5"/>
      <c r="N349" s="5"/>
      <c r="O349" s="6"/>
    </row>
    <row r="350" spans="1:15" ht="14.25" customHeight="1" x14ac:dyDescent="0.35">
      <c r="A350" s="1"/>
      <c r="C350" s="5"/>
      <c r="H350" s="5"/>
      <c r="I350" s="5"/>
      <c r="J350" s="2"/>
      <c r="K350" s="2"/>
      <c r="L350" s="4"/>
      <c r="M350" s="5"/>
      <c r="N350" s="5"/>
      <c r="O350" s="6"/>
    </row>
    <row r="351" spans="1:15" ht="14.25" customHeight="1" x14ac:dyDescent="0.35">
      <c r="A351" s="1"/>
      <c r="C351" s="5"/>
      <c r="H351" s="5"/>
      <c r="I351" s="5"/>
      <c r="J351" s="2"/>
      <c r="K351" s="2"/>
      <c r="L351" s="4"/>
      <c r="M351" s="5"/>
      <c r="N351" s="5"/>
      <c r="O351" s="6"/>
    </row>
    <row r="352" spans="1:15" ht="14.25" customHeight="1" x14ac:dyDescent="0.35">
      <c r="A352" s="1"/>
      <c r="C352" s="5"/>
      <c r="H352" s="5"/>
      <c r="I352" s="5"/>
      <c r="J352" s="2"/>
      <c r="K352" s="2"/>
      <c r="L352" s="4"/>
      <c r="M352" s="5"/>
      <c r="N352" s="5"/>
      <c r="O352" s="6"/>
    </row>
    <row r="353" spans="1:15" ht="14.25" customHeight="1" x14ac:dyDescent="0.35">
      <c r="A353" s="1"/>
      <c r="C353" s="5"/>
      <c r="H353" s="5"/>
      <c r="I353" s="5"/>
      <c r="J353" s="2"/>
      <c r="K353" s="2"/>
      <c r="L353" s="4"/>
      <c r="M353" s="5"/>
      <c r="N353" s="5"/>
      <c r="O353" s="6"/>
    </row>
    <row r="354" spans="1:15" ht="14.25" customHeight="1" x14ac:dyDescent="0.35">
      <c r="A354" s="1"/>
      <c r="C354" s="5"/>
      <c r="H354" s="5"/>
      <c r="I354" s="5"/>
      <c r="J354" s="2"/>
      <c r="K354" s="2"/>
      <c r="L354" s="4"/>
      <c r="M354" s="5"/>
      <c r="N354" s="5"/>
      <c r="O354" s="6"/>
    </row>
    <row r="355" spans="1:15" ht="14.25" customHeight="1" x14ac:dyDescent="0.35">
      <c r="A355" s="1"/>
      <c r="C355" s="5"/>
      <c r="H355" s="5"/>
      <c r="I355" s="5"/>
      <c r="J355" s="2"/>
      <c r="K355" s="2"/>
      <c r="L355" s="4"/>
      <c r="M355" s="5"/>
      <c r="N355" s="5"/>
      <c r="O355" s="6"/>
    </row>
    <row r="356" spans="1:15" ht="14.25" customHeight="1" x14ac:dyDescent="0.35">
      <c r="A356" s="1"/>
      <c r="C356" s="5"/>
      <c r="H356" s="5"/>
      <c r="I356" s="5"/>
      <c r="J356" s="2"/>
      <c r="K356" s="2"/>
      <c r="L356" s="4"/>
      <c r="M356" s="5"/>
      <c r="N356" s="5"/>
      <c r="O356" s="6"/>
    </row>
    <row r="357" spans="1:15" ht="14.25" customHeight="1" x14ac:dyDescent="0.35">
      <c r="A357" s="1"/>
      <c r="C357" s="5"/>
      <c r="H357" s="5"/>
      <c r="I357" s="5"/>
      <c r="J357" s="2"/>
      <c r="K357" s="2"/>
      <c r="L357" s="4"/>
      <c r="M357" s="5"/>
      <c r="N357" s="5"/>
      <c r="O357" s="6"/>
    </row>
    <row r="358" spans="1:15" ht="14.25" customHeight="1" x14ac:dyDescent="0.35">
      <c r="A358" s="1"/>
      <c r="C358" s="5"/>
      <c r="H358" s="5"/>
      <c r="I358" s="5"/>
      <c r="J358" s="2"/>
      <c r="K358" s="2"/>
      <c r="L358" s="4"/>
      <c r="M358" s="5"/>
      <c r="N358" s="5"/>
      <c r="O358" s="6"/>
    </row>
    <row r="359" spans="1:15" ht="14.25" customHeight="1" x14ac:dyDescent="0.35">
      <c r="A359" s="1"/>
      <c r="C359" s="5"/>
      <c r="H359" s="5"/>
      <c r="I359" s="5"/>
      <c r="J359" s="2"/>
      <c r="K359" s="2"/>
      <c r="L359" s="4"/>
      <c r="M359" s="5"/>
      <c r="N359" s="5"/>
      <c r="O359" s="6"/>
    </row>
    <row r="360" spans="1:15" ht="14.25" customHeight="1" x14ac:dyDescent="0.35">
      <c r="A360" s="1"/>
      <c r="C360" s="5"/>
      <c r="H360" s="5"/>
      <c r="I360" s="5"/>
      <c r="J360" s="2"/>
      <c r="K360" s="2"/>
      <c r="L360" s="4"/>
      <c r="M360" s="5"/>
      <c r="N360" s="5"/>
      <c r="O360" s="6"/>
    </row>
    <row r="361" spans="1:15" ht="14.25" customHeight="1" x14ac:dyDescent="0.35">
      <c r="A361" s="1"/>
      <c r="C361" s="5"/>
      <c r="H361" s="5"/>
      <c r="I361" s="5"/>
      <c r="J361" s="2"/>
      <c r="K361" s="2"/>
      <c r="L361" s="4"/>
      <c r="M361" s="5"/>
      <c r="N361" s="5"/>
      <c r="O361" s="6"/>
    </row>
    <row r="362" spans="1:15" ht="14.25" customHeight="1" x14ac:dyDescent="0.35">
      <c r="A362" s="1"/>
      <c r="C362" s="5"/>
      <c r="H362" s="5"/>
      <c r="I362" s="5"/>
      <c r="J362" s="2"/>
      <c r="K362" s="2"/>
      <c r="L362" s="4"/>
      <c r="M362" s="5"/>
      <c r="N362" s="5"/>
      <c r="O362" s="6"/>
    </row>
    <row r="363" spans="1:15" ht="14.25" customHeight="1" x14ac:dyDescent="0.35">
      <c r="A363" s="1"/>
      <c r="C363" s="5"/>
      <c r="H363" s="5"/>
      <c r="I363" s="5"/>
      <c r="J363" s="2"/>
      <c r="K363" s="2"/>
      <c r="L363" s="4"/>
      <c r="M363" s="5"/>
      <c r="N363" s="5"/>
      <c r="O363" s="6"/>
    </row>
    <row r="364" spans="1:15" ht="14.25" customHeight="1" x14ac:dyDescent="0.35">
      <c r="A364" s="1"/>
      <c r="C364" s="5"/>
      <c r="H364" s="5"/>
      <c r="I364" s="5"/>
      <c r="J364" s="2"/>
      <c r="K364" s="2"/>
      <c r="L364" s="4"/>
      <c r="M364" s="5"/>
      <c r="N364" s="5"/>
      <c r="O364" s="6"/>
    </row>
    <row r="365" spans="1:15" ht="14.25" customHeight="1" x14ac:dyDescent="0.35">
      <c r="A365" s="1"/>
      <c r="C365" s="5"/>
      <c r="H365" s="5"/>
      <c r="I365" s="5"/>
      <c r="J365" s="2"/>
      <c r="K365" s="2"/>
      <c r="L365" s="4"/>
      <c r="M365" s="5"/>
      <c r="N365" s="5"/>
      <c r="O365" s="6"/>
    </row>
    <row r="366" spans="1:15" ht="14.25" customHeight="1" x14ac:dyDescent="0.35">
      <c r="A366" s="1"/>
      <c r="C366" s="5"/>
      <c r="H366" s="5"/>
      <c r="I366" s="5"/>
      <c r="J366" s="2"/>
      <c r="K366" s="2"/>
      <c r="L366" s="4"/>
      <c r="M366" s="5"/>
      <c r="N366" s="5"/>
      <c r="O366" s="6"/>
    </row>
    <row r="367" spans="1:15" ht="14.25" customHeight="1" x14ac:dyDescent="0.35">
      <c r="A367" s="1"/>
      <c r="C367" s="5"/>
      <c r="H367" s="5"/>
      <c r="I367" s="5"/>
      <c r="J367" s="2"/>
      <c r="K367" s="2"/>
      <c r="L367" s="4"/>
      <c r="M367" s="5"/>
      <c r="N367" s="5"/>
      <c r="O367" s="6"/>
    </row>
    <row r="368" spans="1:15" ht="14.25" customHeight="1" x14ac:dyDescent="0.35">
      <c r="A368" s="1"/>
      <c r="C368" s="5"/>
      <c r="H368" s="5"/>
      <c r="I368" s="5"/>
      <c r="J368" s="2"/>
      <c r="K368" s="2"/>
      <c r="L368" s="4"/>
      <c r="M368" s="5"/>
      <c r="N368" s="5"/>
      <c r="O368" s="6"/>
    </row>
    <row r="369" spans="1:15" ht="14.25" customHeight="1" x14ac:dyDescent="0.35">
      <c r="A369" s="1"/>
      <c r="C369" s="5"/>
      <c r="H369" s="5"/>
      <c r="I369" s="5"/>
      <c r="J369" s="2"/>
      <c r="K369" s="2"/>
      <c r="L369" s="4"/>
      <c r="M369" s="5"/>
      <c r="N369" s="5"/>
      <c r="O369" s="6"/>
    </row>
    <row r="370" spans="1:15" ht="14.25" customHeight="1" x14ac:dyDescent="0.35">
      <c r="A370" s="1"/>
      <c r="C370" s="5"/>
      <c r="H370" s="5"/>
      <c r="I370" s="5"/>
      <c r="J370" s="2"/>
      <c r="K370" s="2"/>
      <c r="L370" s="4"/>
      <c r="M370" s="5"/>
      <c r="N370" s="5"/>
      <c r="O370" s="6"/>
    </row>
    <row r="371" spans="1:15" ht="14.25" customHeight="1" x14ac:dyDescent="0.35">
      <c r="A371" s="1"/>
      <c r="C371" s="5"/>
      <c r="H371" s="5"/>
      <c r="I371" s="5"/>
      <c r="J371" s="2"/>
      <c r="K371" s="2"/>
      <c r="L371" s="4"/>
      <c r="M371" s="5"/>
      <c r="N371" s="5"/>
      <c r="O371" s="6"/>
    </row>
    <row r="372" spans="1:15" ht="14.25" customHeight="1" x14ac:dyDescent="0.35">
      <c r="A372" s="1"/>
      <c r="C372" s="5"/>
      <c r="H372" s="5"/>
      <c r="I372" s="5"/>
      <c r="J372" s="2"/>
      <c r="K372" s="2"/>
      <c r="L372" s="4"/>
      <c r="M372" s="5"/>
      <c r="N372" s="5"/>
      <c r="O372" s="6"/>
    </row>
    <row r="373" spans="1:15" ht="14.25" customHeight="1" x14ac:dyDescent="0.35">
      <c r="A373" s="1"/>
      <c r="C373" s="5"/>
      <c r="H373" s="5"/>
      <c r="I373" s="5"/>
      <c r="J373" s="2"/>
      <c r="K373" s="2"/>
      <c r="L373" s="4"/>
      <c r="M373" s="5"/>
      <c r="N373" s="5"/>
      <c r="O373" s="6"/>
    </row>
    <row r="374" spans="1:15" ht="14.25" customHeight="1" x14ac:dyDescent="0.35">
      <c r="A374" s="1"/>
      <c r="C374" s="5"/>
      <c r="H374" s="5"/>
      <c r="I374" s="5"/>
      <c r="J374" s="2"/>
      <c r="K374" s="2"/>
      <c r="L374" s="4"/>
      <c r="M374" s="5"/>
      <c r="N374" s="5"/>
      <c r="O374" s="6"/>
    </row>
    <row r="375" spans="1:15" ht="14.25" customHeight="1" x14ac:dyDescent="0.35">
      <c r="A375" s="1"/>
      <c r="C375" s="5"/>
      <c r="H375" s="5"/>
      <c r="I375" s="5"/>
      <c r="J375" s="2"/>
      <c r="K375" s="2"/>
      <c r="L375" s="4"/>
      <c r="M375" s="5"/>
      <c r="N375" s="5"/>
      <c r="O375" s="6"/>
    </row>
    <row r="376" spans="1:15" ht="14.25" customHeight="1" x14ac:dyDescent="0.35">
      <c r="A376" s="1"/>
      <c r="C376" s="5"/>
      <c r="H376" s="5"/>
      <c r="I376" s="5"/>
      <c r="J376" s="2"/>
      <c r="K376" s="2"/>
      <c r="L376" s="4"/>
      <c r="M376" s="5"/>
      <c r="N376" s="5"/>
      <c r="O376" s="6"/>
    </row>
    <row r="377" spans="1:15" ht="14.25" customHeight="1" x14ac:dyDescent="0.35">
      <c r="A377" s="1"/>
      <c r="C377" s="5"/>
      <c r="H377" s="5"/>
      <c r="I377" s="5"/>
      <c r="J377" s="2"/>
      <c r="K377" s="2"/>
      <c r="L377" s="4"/>
      <c r="M377" s="5"/>
      <c r="N377" s="5"/>
      <c r="O377" s="6"/>
    </row>
    <row r="378" spans="1:15" ht="14.25" customHeight="1" x14ac:dyDescent="0.35">
      <c r="A378" s="1"/>
      <c r="C378" s="5"/>
      <c r="H378" s="5"/>
      <c r="I378" s="5"/>
      <c r="J378" s="2"/>
      <c r="K378" s="2"/>
      <c r="L378" s="4"/>
      <c r="M378" s="5"/>
      <c r="N378" s="5"/>
      <c r="O378" s="6"/>
    </row>
    <row r="379" spans="1:15" ht="14.25" customHeight="1" x14ac:dyDescent="0.35">
      <c r="A379" s="1"/>
      <c r="C379" s="5"/>
      <c r="H379" s="5"/>
      <c r="I379" s="5"/>
      <c r="J379" s="2"/>
      <c r="K379" s="2"/>
      <c r="L379" s="4"/>
      <c r="M379" s="5"/>
      <c r="N379" s="5"/>
      <c r="O379" s="6"/>
    </row>
    <row r="380" spans="1:15" ht="14.25" customHeight="1" x14ac:dyDescent="0.35">
      <c r="A380" s="1"/>
      <c r="C380" s="5"/>
      <c r="H380" s="5"/>
      <c r="I380" s="5"/>
      <c r="J380" s="2"/>
      <c r="K380" s="2"/>
      <c r="L380" s="4"/>
      <c r="M380" s="5"/>
      <c r="N380" s="5"/>
      <c r="O380" s="6"/>
    </row>
    <row r="381" spans="1:15" ht="14.25" customHeight="1" x14ac:dyDescent="0.35">
      <c r="A381" s="1"/>
      <c r="C381" s="5"/>
      <c r="H381" s="5"/>
      <c r="I381" s="5"/>
      <c r="J381" s="2"/>
      <c r="K381" s="2"/>
      <c r="L381" s="4"/>
      <c r="M381" s="5"/>
      <c r="N381" s="5"/>
      <c r="O381" s="6"/>
    </row>
    <row r="382" spans="1:15" ht="14.25" customHeight="1" x14ac:dyDescent="0.35">
      <c r="A382" s="1"/>
      <c r="C382" s="5"/>
      <c r="H382" s="5"/>
      <c r="I382" s="5"/>
      <c r="J382" s="2"/>
      <c r="K382" s="2"/>
      <c r="L382" s="4"/>
      <c r="M382" s="5"/>
      <c r="N382" s="5"/>
      <c r="O382" s="6"/>
    </row>
    <row r="383" spans="1:15" ht="14.25" customHeight="1" x14ac:dyDescent="0.35">
      <c r="A383" s="1"/>
      <c r="C383" s="5"/>
      <c r="H383" s="5"/>
      <c r="I383" s="5"/>
      <c r="J383" s="2"/>
      <c r="K383" s="2"/>
      <c r="L383" s="4"/>
      <c r="M383" s="5"/>
      <c r="N383" s="5"/>
      <c r="O383" s="6"/>
    </row>
    <row r="384" spans="1:15" ht="14.25" customHeight="1" x14ac:dyDescent="0.35">
      <c r="A384" s="1"/>
      <c r="C384" s="5"/>
      <c r="H384" s="5"/>
      <c r="I384" s="5"/>
      <c r="J384" s="2"/>
      <c r="K384" s="2"/>
      <c r="L384" s="4"/>
      <c r="M384" s="5"/>
      <c r="N384" s="5"/>
      <c r="O384" s="6"/>
    </row>
    <row r="385" spans="1:15" ht="14.25" customHeight="1" x14ac:dyDescent="0.35">
      <c r="A385" s="1"/>
      <c r="C385" s="5"/>
      <c r="H385" s="5"/>
      <c r="I385" s="5"/>
      <c r="J385" s="2"/>
      <c r="K385" s="2"/>
      <c r="L385" s="4"/>
      <c r="M385" s="5"/>
      <c r="N385" s="5"/>
      <c r="O385" s="6"/>
    </row>
    <row r="386" spans="1:15" ht="14.25" customHeight="1" x14ac:dyDescent="0.35">
      <c r="A386" s="1"/>
      <c r="C386" s="5"/>
      <c r="H386" s="5"/>
      <c r="I386" s="5"/>
      <c r="J386" s="2"/>
      <c r="K386" s="2"/>
      <c r="L386" s="4"/>
      <c r="M386" s="5"/>
      <c r="N386" s="5"/>
      <c r="O386" s="6"/>
    </row>
    <row r="387" spans="1:15" ht="14.25" customHeight="1" x14ac:dyDescent="0.35">
      <c r="A387" s="1"/>
      <c r="C387" s="5"/>
      <c r="H387" s="5"/>
      <c r="I387" s="5"/>
      <c r="J387" s="2"/>
      <c r="K387" s="2"/>
      <c r="L387" s="4"/>
      <c r="M387" s="5"/>
      <c r="N387" s="5"/>
      <c r="O387" s="6"/>
    </row>
    <row r="388" spans="1:15" ht="14.25" customHeight="1" x14ac:dyDescent="0.35">
      <c r="A388" s="1"/>
      <c r="C388" s="5"/>
      <c r="H388" s="5"/>
      <c r="I388" s="5"/>
      <c r="J388" s="2"/>
      <c r="K388" s="2"/>
      <c r="L388" s="4"/>
      <c r="M388" s="5"/>
      <c r="N388" s="5"/>
      <c r="O388" s="6"/>
    </row>
    <row r="389" spans="1:15" ht="14.25" customHeight="1" x14ac:dyDescent="0.35">
      <c r="A389" s="1"/>
      <c r="C389" s="5"/>
      <c r="H389" s="5"/>
      <c r="I389" s="5"/>
      <c r="J389" s="2"/>
      <c r="K389" s="2"/>
      <c r="L389" s="4"/>
      <c r="M389" s="5"/>
      <c r="N389" s="5"/>
      <c r="O389" s="6"/>
    </row>
    <row r="390" spans="1:15" ht="14.25" customHeight="1" x14ac:dyDescent="0.35">
      <c r="A390" s="1"/>
      <c r="C390" s="5"/>
      <c r="H390" s="5"/>
      <c r="I390" s="5"/>
      <c r="J390" s="2"/>
      <c r="K390" s="2"/>
      <c r="L390" s="4"/>
      <c r="M390" s="5"/>
      <c r="N390" s="5"/>
      <c r="O390" s="6"/>
    </row>
    <row r="391" spans="1:15" ht="14.25" customHeight="1" x14ac:dyDescent="0.35">
      <c r="A391" s="1"/>
      <c r="C391" s="5"/>
      <c r="H391" s="5"/>
      <c r="I391" s="5"/>
      <c r="J391" s="2"/>
      <c r="K391" s="2"/>
      <c r="L391" s="4"/>
      <c r="M391" s="5"/>
      <c r="N391" s="5"/>
      <c r="O391" s="6"/>
    </row>
    <row r="392" spans="1:15" ht="14.25" customHeight="1" x14ac:dyDescent="0.35">
      <c r="A392" s="1"/>
      <c r="C392" s="5"/>
      <c r="H392" s="5"/>
      <c r="I392" s="5"/>
      <c r="J392" s="2"/>
      <c r="K392" s="2"/>
      <c r="L392" s="4"/>
      <c r="M392" s="5"/>
      <c r="N392" s="5"/>
      <c r="O392" s="6"/>
    </row>
    <row r="393" spans="1:15" ht="14.25" customHeight="1" x14ac:dyDescent="0.35">
      <c r="A393" s="1"/>
      <c r="C393" s="5"/>
      <c r="H393" s="5"/>
      <c r="I393" s="5"/>
      <c r="J393" s="2"/>
      <c r="K393" s="2"/>
      <c r="L393" s="4"/>
      <c r="M393" s="5"/>
      <c r="N393" s="5"/>
      <c r="O393" s="6"/>
    </row>
    <row r="394" spans="1:15" ht="14.25" customHeight="1" x14ac:dyDescent="0.35">
      <c r="A394" s="1"/>
      <c r="C394" s="5"/>
      <c r="H394" s="5"/>
      <c r="I394" s="5"/>
      <c r="J394" s="2"/>
      <c r="K394" s="2"/>
      <c r="L394" s="4"/>
      <c r="M394" s="5"/>
      <c r="N394" s="5"/>
      <c r="O394" s="6"/>
    </row>
    <row r="395" spans="1:15" ht="14.25" customHeight="1" x14ac:dyDescent="0.35">
      <c r="A395" s="1"/>
      <c r="C395" s="5"/>
      <c r="H395" s="5"/>
      <c r="I395" s="5"/>
      <c r="J395" s="2"/>
      <c r="K395" s="2"/>
      <c r="L395" s="4"/>
      <c r="M395" s="5"/>
      <c r="N395" s="5"/>
      <c r="O395" s="6"/>
    </row>
    <row r="396" spans="1:15" ht="14.25" customHeight="1" x14ac:dyDescent="0.35">
      <c r="A396" s="1"/>
      <c r="C396" s="5"/>
      <c r="H396" s="5"/>
      <c r="I396" s="5"/>
      <c r="J396" s="2"/>
      <c r="K396" s="2"/>
      <c r="L396" s="4"/>
      <c r="M396" s="5"/>
      <c r="N396" s="5"/>
      <c r="O396" s="6"/>
    </row>
    <row r="397" spans="1:15" ht="14.25" customHeight="1" x14ac:dyDescent="0.35">
      <c r="A397" s="1"/>
      <c r="C397" s="5"/>
      <c r="H397" s="5"/>
      <c r="I397" s="5"/>
      <c r="J397" s="2"/>
      <c r="K397" s="2"/>
      <c r="L397" s="4"/>
      <c r="M397" s="5"/>
      <c r="N397" s="5"/>
      <c r="O397" s="6"/>
    </row>
    <row r="398" spans="1:15" ht="14.25" customHeight="1" x14ac:dyDescent="0.35">
      <c r="A398" s="1"/>
      <c r="C398" s="5"/>
      <c r="H398" s="5"/>
      <c r="I398" s="5"/>
      <c r="J398" s="2"/>
      <c r="K398" s="2"/>
      <c r="L398" s="4"/>
      <c r="M398" s="5"/>
      <c r="N398" s="5"/>
      <c r="O398" s="6"/>
    </row>
    <row r="399" spans="1:15" ht="14.25" customHeight="1" x14ac:dyDescent="0.35">
      <c r="A399" s="1"/>
      <c r="C399" s="5"/>
      <c r="H399" s="5"/>
      <c r="I399" s="5"/>
      <c r="J399" s="2"/>
      <c r="K399" s="2"/>
      <c r="L399" s="4"/>
      <c r="M399" s="5"/>
      <c r="N399" s="5"/>
      <c r="O399" s="6"/>
    </row>
    <row r="400" spans="1:15" ht="14.25" customHeight="1" x14ac:dyDescent="0.35">
      <c r="A400" s="1"/>
      <c r="C400" s="5"/>
      <c r="H400" s="5"/>
      <c r="I400" s="5"/>
      <c r="J400" s="2"/>
      <c r="K400" s="2"/>
      <c r="L400" s="4"/>
      <c r="M400" s="5"/>
      <c r="N400" s="5"/>
      <c r="O400" s="6"/>
    </row>
    <row r="401" spans="1:15" ht="14.25" customHeight="1" x14ac:dyDescent="0.35">
      <c r="A401" s="1"/>
      <c r="C401" s="5"/>
      <c r="H401" s="5"/>
      <c r="I401" s="5"/>
      <c r="J401" s="2"/>
      <c r="K401" s="2"/>
      <c r="L401" s="4"/>
      <c r="M401" s="5"/>
      <c r="N401" s="5"/>
      <c r="O401" s="6"/>
    </row>
    <row r="402" spans="1:15" ht="14.25" customHeight="1" x14ac:dyDescent="0.35">
      <c r="A402" s="1"/>
      <c r="C402" s="5"/>
      <c r="H402" s="5"/>
      <c r="I402" s="5"/>
      <c r="J402" s="2"/>
      <c r="K402" s="2"/>
      <c r="L402" s="4"/>
      <c r="M402" s="5"/>
      <c r="N402" s="5"/>
      <c r="O402" s="6"/>
    </row>
    <row r="403" spans="1:15" ht="14.25" customHeight="1" x14ac:dyDescent="0.35">
      <c r="A403" s="1"/>
      <c r="C403" s="5"/>
      <c r="H403" s="5"/>
      <c r="I403" s="5"/>
      <c r="J403" s="2"/>
      <c r="K403" s="2"/>
      <c r="L403" s="4"/>
      <c r="M403" s="5"/>
      <c r="N403" s="5"/>
      <c r="O403" s="6"/>
    </row>
    <row r="404" spans="1:15" ht="14.25" customHeight="1" x14ac:dyDescent="0.35">
      <c r="A404" s="1"/>
      <c r="C404" s="5"/>
      <c r="H404" s="5"/>
      <c r="I404" s="5"/>
      <c r="J404" s="2"/>
      <c r="K404" s="2"/>
      <c r="L404" s="4"/>
      <c r="M404" s="5"/>
      <c r="N404" s="5"/>
      <c r="O404" s="6"/>
    </row>
    <row r="405" spans="1:15" ht="14.25" customHeight="1" x14ac:dyDescent="0.35">
      <c r="A405" s="1"/>
      <c r="C405" s="5"/>
      <c r="H405" s="5"/>
      <c r="I405" s="5"/>
      <c r="J405" s="2"/>
      <c r="K405" s="2"/>
      <c r="L405" s="4"/>
      <c r="M405" s="5"/>
      <c r="N405" s="5"/>
      <c r="O405" s="6"/>
    </row>
    <row r="406" spans="1:15" ht="14.25" customHeight="1" x14ac:dyDescent="0.35">
      <c r="A406" s="1"/>
      <c r="C406" s="5"/>
      <c r="H406" s="5"/>
      <c r="I406" s="5"/>
      <c r="J406" s="2"/>
      <c r="K406" s="2"/>
      <c r="L406" s="4"/>
      <c r="M406" s="5"/>
      <c r="N406" s="5"/>
      <c r="O406" s="6"/>
    </row>
    <row r="407" spans="1:15" ht="14.25" customHeight="1" x14ac:dyDescent="0.35">
      <c r="A407" s="1"/>
      <c r="C407" s="5"/>
      <c r="H407" s="5"/>
      <c r="I407" s="5"/>
      <c r="J407" s="2"/>
      <c r="K407" s="2"/>
      <c r="L407" s="4"/>
      <c r="M407" s="5"/>
      <c r="N407" s="5"/>
      <c r="O407" s="6"/>
    </row>
    <row r="408" spans="1:15" ht="14.25" customHeight="1" x14ac:dyDescent="0.35">
      <c r="A408" s="1"/>
      <c r="C408" s="5"/>
      <c r="H408" s="5"/>
      <c r="I408" s="5"/>
      <c r="J408" s="2"/>
      <c r="K408" s="2"/>
      <c r="L408" s="4"/>
      <c r="M408" s="5"/>
      <c r="N408" s="5"/>
      <c r="O408" s="6"/>
    </row>
    <row r="409" spans="1:15" ht="14.25" customHeight="1" x14ac:dyDescent="0.35">
      <c r="A409" s="1"/>
      <c r="C409" s="5"/>
      <c r="H409" s="5"/>
      <c r="I409" s="5"/>
      <c r="J409" s="2"/>
      <c r="K409" s="2"/>
      <c r="L409" s="4"/>
      <c r="M409" s="5"/>
      <c r="N409" s="5"/>
      <c r="O409" s="6"/>
    </row>
    <row r="410" spans="1:15" ht="14.25" customHeight="1" x14ac:dyDescent="0.35">
      <c r="A410" s="1"/>
      <c r="C410" s="5"/>
      <c r="H410" s="5"/>
      <c r="I410" s="5"/>
      <c r="J410" s="2"/>
      <c r="K410" s="2"/>
      <c r="L410" s="4"/>
      <c r="M410" s="5"/>
      <c r="N410" s="5"/>
      <c r="O410" s="6"/>
    </row>
    <row r="411" spans="1:15" ht="14.25" customHeight="1" x14ac:dyDescent="0.35">
      <c r="A411" s="1"/>
      <c r="C411" s="5"/>
      <c r="H411" s="5"/>
      <c r="I411" s="5"/>
      <c r="J411" s="2"/>
      <c r="K411" s="2"/>
      <c r="L411" s="4"/>
      <c r="M411" s="5"/>
      <c r="N411" s="5"/>
      <c r="O411" s="6"/>
    </row>
    <row r="412" spans="1:15" ht="14.25" customHeight="1" x14ac:dyDescent="0.35">
      <c r="A412" s="1"/>
      <c r="C412" s="5"/>
      <c r="H412" s="5"/>
      <c r="I412" s="5"/>
      <c r="J412" s="2"/>
      <c r="K412" s="2"/>
      <c r="L412" s="4"/>
      <c r="M412" s="5"/>
      <c r="N412" s="5"/>
      <c r="O412" s="6"/>
    </row>
    <row r="413" spans="1:15" ht="14.25" customHeight="1" x14ac:dyDescent="0.35">
      <c r="A413" s="1"/>
      <c r="C413" s="5"/>
      <c r="H413" s="5"/>
      <c r="I413" s="5"/>
      <c r="J413" s="2"/>
      <c r="K413" s="2"/>
      <c r="L413" s="4"/>
      <c r="M413" s="5"/>
      <c r="N413" s="5"/>
      <c r="O413" s="6"/>
    </row>
    <row r="414" spans="1:15" ht="14.25" customHeight="1" x14ac:dyDescent="0.35">
      <c r="A414" s="1"/>
      <c r="C414" s="5"/>
      <c r="H414" s="5"/>
      <c r="I414" s="5"/>
      <c r="J414" s="2"/>
      <c r="K414" s="2"/>
      <c r="L414" s="4"/>
      <c r="M414" s="5"/>
      <c r="N414" s="5"/>
      <c r="O414" s="6"/>
    </row>
    <row r="415" spans="1:15" ht="14.25" customHeight="1" x14ac:dyDescent="0.35">
      <c r="A415" s="1"/>
      <c r="C415" s="5"/>
      <c r="H415" s="5"/>
      <c r="I415" s="5"/>
      <c r="J415" s="2"/>
      <c r="K415" s="2"/>
      <c r="L415" s="4"/>
      <c r="M415" s="5"/>
      <c r="N415" s="5"/>
      <c r="O415" s="6"/>
    </row>
    <row r="416" spans="1:15" ht="14.25" customHeight="1" x14ac:dyDescent="0.35">
      <c r="A416" s="1"/>
      <c r="C416" s="5"/>
      <c r="H416" s="5"/>
      <c r="I416" s="5"/>
      <c r="J416" s="2"/>
      <c r="K416" s="2"/>
      <c r="L416" s="4"/>
      <c r="M416" s="5"/>
      <c r="N416" s="5"/>
      <c r="O416" s="6"/>
    </row>
    <row r="417" spans="1:15" ht="14.25" customHeight="1" x14ac:dyDescent="0.35">
      <c r="A417" s="1"/>
      <c r="C417" s="5"/>
      <c r="H417" s="5"/>
      <c r="I417" s="5"/>
      <c r="J417" s="2"/>
      <c r="K417" s="2"/>
      <c r="L417" s="4"/>
      <c r="M417" s="5"/>
      <c r="N417" s="5"/>
      <c r="O417" s="6"/>
    </row>
    <row r="418" spans="1:15" ht="14.25" customHeight="1" x14ac:dyDescent="0.35">
      <c r="A418" s="1"/>
      <c r="C418" s="5"/>
      <c r="H418" s="5"/>
      <c r="I418" s="5"/>
      <c r="J418" s="2"/>
      <c r="K418" s="2"/>
      <c r="L418" s="4"/>
      <c r="M418" s="5"/>
      <c r="N418" s="5"/>
      <c r="O418" s="6"/>
    </row>
    <row r="419" spans="1:15" ht="14.25" customHeight="1" x14ac:dyDescent="0.35">
      <c r="A419" s="1"/>
      <c r="C419" s="5"/>
      <c r="H419" s="5"/>
      <c r="I419" s="5"/>
      <c r="J419" s="2"/>
      <c r="K419" s="2"/>
      <c r="L419" s="4"/>
      <c r="M419" s="5"/>
      <c r="N419" s="5"/>
      <c r="O419" s="6"/>
    </row>
    <row r="420" spans="1:15" ht="14.25" customHeight="1" x14ac:dyDescent="0.35">
      <c r="A420" s="1"/>
      <c r="C420" s="5"/>
      <c r="H420" s="5"/>
      <c r="I420" s="5"/>
      <c r="J420" s="2"/>
      <c r="K420" s="2"/>
      <c r="L420" s="4"/>
      <c r="M420" s="5"/>
      <c r="N420" s="5"/>
      <c r="O420" s="6"/>
    </row>
    <row r="421" spans="1:15" ht="14.25" customHeight="1" x14ac:dyDescent="0.35">
      <c r="A421" s="1"/>
      <c r="C421" s="5"/>
      <c r="H421" s="5"/>
      <c r="I421" s="5"/>
      <c r="J421" s="2"/>
      <c r="K421" s="2"/>
      <c r="L421" s="4"/>
      <c r="M421" s="5"/>
      <c r="N421" s="5"/>
      <c r="O421" s="6"/>
    </row>
    <row r="422" spans="1:15" ht="14.25" customHeight="1" x14ac:dyDescent="0.35">
      <c r="A422" s="1"/>
      <c r="C422" s="5"/>
      <c r="H422" s="5"/>
      <c r="I422" s="5"/>
      <c r="J422" s="2"/>
      <c r="K422" s="2"/>
      <c r="L422" s="4"/>
      <c r="M422" s="5"/>
      <c r="N422" s="5"/>
      <c r="O422" s="6"/>
    </row>
    <row r="423" spans="1:15" ht="14.25" customHeight="1" x14ac:dyDescent="0.35">
      <c r="A423" s="1"/>
      <c r="C423" s="5"/>
      <c r="H423" s="5"/>
      <c r="I423" s="5"/>
      <c r="J423" s="2"/>
      <c r="K423" s="2"/>
      <c r="L423" s="4"/>
      <c r="M423" s="5"/>
      <c r="N423" s="5"/>
      <c r="O423" s="6"/>
    </row>
    <row r="424" spans="1:15" ht="14.25" customHeight="1" x14ac:dyDescent="0.35">
      <c r="A424" s="1"/>
      <c r="C424" s="5"/>
      <c r="H424" s="5"/>
      <c r="I424" s="5"/>
      <c r="J424" s="2"/>
      <c r="K424" s="2"/>
      <c r="L424" s="4"/>
      <c r="M424" s="5"/>
      <c r="N424" s="5"/>
      <c r="O424" s="6"/>
    </row>
    <row r="425" spans="1:15" ht="14.25" customHeight="1" x14ac:dyDescent="0.35">
      <c r="A425" s="1"/>
      <c r="C425" s="5"/>
      <c r="H425" s="5"/>
      <c r="I425" s="5"/>
      <c r="J425" s="2"/>
      <c r="K425" s="2"/>
      <c r="L425" s="4"/>
      <c r="M425" s="5"/>
      <c r="N425" s="5"/>
      <c r="O425" s="6"/>
    </row>
    <row r="426" spans="1:15" ht="14.25" customHeight="1" x14ac:dyDescent="0.35">
      <c r="A426" s="1"/>
      <c r="C426" s="5"/>
      <c r="H426" s="5"/>
      <c r="I426" s="5"/>
      <c r="J426" s="2"/>
      <c r="K426" s="2"/>
      <c r="L426" s="4"/>
      <c r="M426" s="5"/>
      <c r="N426" s="5"/>
      <c r="O426" s="6"/>
    </row>
    <row r="427" spans="1:15" ht="14.25" customHeight="1" x14ac:dyDescent="0.35">
      <c r="A427" s="1"/>
      <c r="C427" s="5"/>
      <c r="H427" s="5"/>
      <c r="I427" s="5"/>
      <c r="J427" s="2"/>
      <c r="K427" s="2"/>
      <c r="L427" s="4"/>
      <c r="M427" s="5"/>
      <c r="N427" s="5"/>
      <c r="O427" s="6"/>
    </row>
    <row r="428" spans="1:15" ht="14.25" customHeight="1" x14ac:dyDescent="0.35">
      <c r="A428" s="1"/>
      <c r="C428" s="5"/>
      <c r="H428" s="5"/>
      <c r="I428" s="5"/>
      <c r="J428" s="2"/>
      <c r="K428" s="2"/>
      <c r="L428" s="4"/>
      <c r="M428" s="5"/>
      <c r="N428" s="5"/>
      <c r="O428" s="6"/>
    </row>
    <row r="429" spans="1:15" ht="14.25" customHeight="1" x14ac:dyDescent="0.35">
      <c r="A429" s="1"/>
      <c r="C429" s="5"/>
      <c r="H429" s="5"/>
      <c r="I429" s="5"/>
      <c r="J429" s="2"/>
      <c r="K429" s="2"/>
      <c r="L429" s="4"/>
      <c r="M429" s="5"/>
      <c r="N429" s="5"/>
      <c r="O429" s="6"/>
    </row>
    <row r="430" spans="1:15" ht="14.25" customHeight="1" x14ac:dyDescent="0.35">
      <c r="A430" s="1"/>
      <c r="C430" s="5"/>
      <c r="H430" s="5"/>
      <c r="I430" s="5"/>
      <c r="J430" s="2"/>
      <c r="K430" s="2"/>
      <c r="L430" s="4"/>
      <c r="M430" s="5"/>
      <c r="N430" s="5"/>
      <c r="O430" s="6"/>
    </row>
    <row r="431" spans="1:15" ht="14.25" customHeight="1" x14ac:dyDescent="0.35">
      <c r="A431" s="1"/>
      <c r="C431" s="5"/>
      <c r="H431" s="5"/>
      <c r="I431" s="5"/>
      <c r="J431" s="2"/>
      <c r="K431" s="2"/>
      <c r="L431" s="4"/>
      <c r="M431" s="5"/>
      <c r="N431" s="5"/>
      <c r="O431" s="6"/>
    </row>
    <row r="432" spans="1:15" ht="14.25" customHeight="1" x14ac:dyDescent="0.35">
      <c r="A432" s="1"/>
      <c r="C432" s="5"/>
      <c r="H432" s="5"/>
      <c r="I432" s="5"/>
      <c r="J432" s="2"/>
      <c r="K432" s="2"/>
      <c r="L432" s="4"/>
      <c r="M432" s="5"/>
      <c r="N432" s="5"/>
      <c r="O432" s="6"/>
    </row>
    <row r="433" spans="1:15" ht="14.25" customHeight="1" x14ac:dyDescent="0.35">
      <c r="A433" s="1"/>
      <c r="C433" s="5"/>
      <c r="H433" s="5"/>
      <c r="I433" s="5"/>
      <c r="J433" s="2"/>
      <c r="K433" s="2"/>
      <c r="L433" s="4"/>
      <c r="M433" s="5"/>
      <c r="N433" s="5"/>
      <c r="O433" s="6"/>
    </row>
    <row r="434" spans="1:15" ht="14.25" customHeight="1" x14ac:dyDescent="0.35">
      <c r="A434" s="1"/>
      <c r="C434" s="5"/>
      <c r="H434" s="5"/>
      <c r="I434" s="5"/>
      <c r="J434" s="2"/>
      <c r="K434" s="2"/>
      <c r="L434" s="4"/>
      <c r="M434" s="5"/>
      <c r="N434" s="5"/>
      <c r="O434" s="6"/>
    </row>
    <row r="435" spans="1:15" ht="14.25" customHeight="1" x14ac:dyDescent="0.35">
      <c r="A435" s="1"/>
      <c r="C435" s="5"/>
      <c r="H435" s="5"/>
      <c r="I435" s="5"/>
      <c r="J435" s="2"/>
      <c r="K435" s="2"/>
      <c r="L435" s="4"/>
      <c r="M435" s="5"/>
      <c r="N435" s="5"/>
      <c r="O435" s="6"/>
    </row>
    <row r="436" spans="1:15" ht="14.25" customHeight="1" x14ac:dyDescent="0.35">
      <c r="A436" s="1"/>
      <c r="C436" s="5"/>
      <c r="H436" s="5"/>
      <c r="I436" s="5"/>
      <c r="J436" s="2"/>
      <c r="K436" s="2"/>
      <c r="L436" s="4"/>
      <c r="M436" s="5"/>
      <c r="N436" s="5"/>
      <c r="O436" s="6"/>
    </row>
    <row r="437" spans="1:15" ht="14.25" customHeight="1" x14ac:dyDescent="0.35">
      <c r="A437" s="1"/>
      <c r="C437" s="5"/>
      <c r="H437" s="5"/>
      <c r="I437" s="5"/>
      <c r="J437" s="2"/>
      <c r="K437" s="2"/>
      <c r="L437" s="4"/>
      <c r="M437" s="5"/>
      <c r="N437" s="5"/>
      <c r="O437" s="6"/>
    </row>
    <row r="438" spans="1:15" ht="14.25" customHeight="1" x14ac:dyDescent="0.35">
      <c r="A438" s="1"/>
      <c r="C438" s="5"/>
      <c r="H438" s="5"/>
      <c r="I438" s="5"/>
      <c r="J438" s="2"/>
      <c r="K438" s="2"/>
      <c r="L438" s="4"/>
      <c r="M438" s="5"/>
      <c r="N438" s="5"/>
      <c r="O438" s="6"/>
    </row>
    <row r="439" spans="1:15" ht="14.25" customHeight="1" x14ac:dyDescent="0.35">
      <c r="A439" s="1"/>
      <c r="C439" s="5"/>
      <c r="H439" s="5"/>
      <c r="I439" s="5"/>
      <c r="J439" s="2"/>
      <c r="K439" s="2"/>
      <c r="L439" s="4"/>
      <c r="M439" s="5"/>
      <c r="N439" s="5"/>
      <c r="O439" s="6"/>
    </row>
    <row r="440" spans="1:15" ht="14.25" customHeight="1" x14ac:dyDescent="0.35">
      <c r="A440" s="1"/>
      <c r="C440" s="5"/>
      <c r="H440" s="5"/>
      <c r="I440" s="5"/>
      <c r="J440" s="2"/>
      <c r="K440" s="2"/>
      <c r="L440" s="4"/>
      <c r="M440" s="5"/>
      <c r="N440" s="5"/>
      <c r="O440" s="6"/>
    </row>
    <row r="441" spans="1:15" ht="14.25" customHeight="1" x14ac:dyDescent="0.35">
      <c r="A441" s="1"/>
      <c r="C441" s="5"/>
      <c r="H441" s="5"/>
      <c r="I441" s="5"/>
      <c r="J441" s="2"/>
      <c r="K441" s="2"/>
      <c r="L441" s="4"/>
      <c r="M441" s="5"/>
      <c r="N441" s="5"/>
      <c r="O441" s="6"/>
    </row>
    <row r="442" spans="1:15" ht="14.25" customHeight="1" x14ac:dyDescent="0.35">
      <c r="A442" s="1"/>
      <c r="C442" s="5"/>
      <c r="H442" s="5"/>
      <c r="I442" s="5"/>
      <c r="J442" s="2"/>
      <c r="K442" s="2"/>
      <c r="L442" s="4"/>
      <c r="M442" s="5"/>
      <c r="N442" s="5"/>
      <c r="O442" s="6"/>
    </row>
    <row r="443" spans="1:15" ht="14.25" customHeight="1" x14ac:dyDescent="0.35">
      <c r="A443" s="1"/>
      <c r="C443" s="5"/>
      <c r="H443" s="5"/>
      <c r="I443" s="5"/>
      <c r="J443" s="2"/>
      <c r="K443" s="2"/>
      <c r="L443" s="4"/>
      <c r="M443" s="5"/>
      <c r="N443" s="5"/>
      <c r="O443" s="6"/>
    </row>
    <row r="444" spans="1:15" ht="14.25" customHeight="1" x14ac:dyDescent="0.35">
      <c r="A444" s="1"/>
      <c r="C444" s="5"/>
      <c r="H444" s="5"/>
      <c r="I444" s="5"/>
      <c r="J444" s="2"/>
      <c r="K444" s="2"/>
      <c r="L444" s="4"/>
      <c r="M444" s="5"/>
      <c r="N444" s="5"/>
      <c r="O444" s="6"/>
    </row>
    <row r="445" spans="1:15" ht="14.25" customHeight="1" x14ac:dyDescent="0.35">
      <c r="A445" s="1"/>
      <c r="C445" s="5"/>
      <c r="H445" s="5"/>
      <c r="I445" s="5"/>
      <c r="J445" s="2"/>
      <c r="K445" s="2"/>
      <c r="L445" s="4"/>
      <c r="M445" s="5"/>
      <c r="N445" s="5"/>
      <c r="O445" s="6"/>
    </row>
    <row r="446" spans="1:15" ht="14.25" customHeight="1" x14ac:dyDescent="0.35">
      <c r="A446" s="1"/>
      <c r="C446" s="5"/>
      <c r="H446" s="5"/>
      <c r="I446" s="5"/>
      <c r="J446" s="2"/>
      <c r="K446" s="2"/>
      <c r="L446" s="4"/>
      <c r="M446" s="5"/>
      <c r="N446" s="5"/>
      <c r="O446" s="6"/>
    </row>
    <row r="447" spans="1:15" ht="14.25" customHeight="1" x14ac:dyDescent="0.35">
      <c r="A447" s="1"/>
      <c r="C447" s="5"/>
      <c r="H447" s="5"/>
      <c r="I447" s="5"/>
      <c r="J447" s="2"/>
      <c r="K447" s="2"/>
      <c r="L447" s="4"/>
      <c r="M447" s="5"/>
      <c r="N447" s="5"/>
      <c r="O447" s="6"/>
    </row>
    <row r="448" spans="1:15" ht="14.25" customHeight="1" x14ac:dyDescent="0.35">
      <c r="A448" s="1"/>
      <c r="C448" s="5"/>
      <c r="H448" s="5"/>
      <c r="I448" s="5"/>
      <c r="J448" s="2"/>
      <c r="K448" s="2"/>
      <c r="L448" s="4"/>
      <c r="M448" s="5"/>
      <c r="N448" s="5"/>
      <c r="O448" s="6"/>
    </row>
    <row r="449" spans="1:15" ht="14.25" customHeight="1" x14ac:dyDescent="0.35">
      <c r="A449" s="1"/>
      <c r="C449" s="5"/>
      <c r="H449" s="5"/>
      <c r="I449" s="5"/>
      <c r="J449" s="2"/>
      <c r="K449" s="2"/>
      <c r="L449" s="4"/>
      <c r="M449" s="5"/>
      <c r="N449" s="5"/>
      <c r="O449" s="6"/>
    </row>
    <row r="450" spans="1:15" ht="14.25" customHeight="1" x14ac:dyDescent="0.35">
      <c r="A450" s="1"/>
      <c r="C450" s="5"/>
      <c r="H450" s="5"/>
      <c r="I450" s="5"/>
      <c r="J450" s="2"/>
      <c r="K450" s="2"/>
      <c r="L450" s="4"/>
      <c r="M450" s="5"/>
      <c r="N450" s="5"/>
      <c r="O450" s="6"/>
    </row>
    <row r="451" spans="1:15" ht="14.25" customHeight="1" x14ac:dyDescent="0.35">
      <c r="A451" s="1"/>
      <c r="C451" s="5"/>
      <c r="H451" s="5"/>
      <c r="I451" s="5"/>
      <c r="J451" s="2"/>
      <c r="K451" s="2"/>
      <c r="L451" s="4"/>
      <c r="M451" s="5"/>
      <c r="N451" s="5"/>
      <c r="O451" s="6"/>
    </row>
    <row r="452" spans="1:15" ht="14.25" customHeight="1" x14ac:dyDescent="0.35">
      <c r="A452" s="1"/>
      <c r="C452" s="5"/>
      <c r="H452" s="5"/>
      <c r="I452" s="5"/>
      <c r="J452" s="2"/>
      <c r="K452" s="2"/>
      <c r="L452" s="4"/>
      <c r="M452" s="5"/>
      <c r="N452" s="5"/>
      <c r="O452" s="6"/>
    </row>
    <row r="453" spans="1:15" ht="14.25" customHeight="1" x14ac:dyDescent="0.35">
      <c r="A453" s="1"/>
      <c r="C453" s="5"/>
      <c r="H453" s="5"/>
      <c r="I453" s="5"/>
      <c r="J453" s="2"/>
      <c r="K453" s="2"/>
      <c r="L453" s="4"/>
      <c r="M453" s="5"/>
      <c r="N453" s="5"/>
      <c r="O453" s="6"/>
    </row>
    <row r="454" spans="1:15" ht="14.25" customHeight="1" x14ac:dyDescent="0.35">
      <c r="A454" s="1"/>
      <c r="C454" s="5"/>
      <c r="H454" s="5"/>
      <c r="I454" s="5"/>
      <c r="J454" s="2"/>
      <c r="K454" s="2"/>
      <c r="L454" s="4"/>
      <c r="M454" s="5"/>
      <c r="N454" s="5"/>
      <c r="O454" s="6"/>
    </row>
    <row r="455" spans="1:15" ht="14.25" customHeight="1" x14ac:dyDescent="0.35">
      <c r="A455" s="1"/>
      <c r="C455" s="5"/>
      <c r="H455" s="5"/>
      <c r="I455" s="5"/>
      <c r="J455" s="2"/>
      <c r="K455" s="2"/>
      <c r="L455" s="4"/>
      <c r="M455" s="5"/>
      <c r="N455" s="5"/>
      <c r="O455" s="6"/>
    </row>
    <row r="456" spans="1:15" ht="14.25" customHeight="1" x14ac:dyDescent="0.35">
      <c r="A456" s="1"/>
      <c r="C456" s="5"/>
      <c r="H456" s="5"/>
      <c r="I456" s="5"/>
      <c r="J456" s="2"/>
      <c r="K456" s="2"/>
      <c r="L456" s="4"/>
      <c r="M456" s="5"/>
      <c r="N456" s="5"/>
      <c r="O456" s="6"/>
    </row>
    <row r="457" spans="1:15" ht="14.25" customHeight="1" x14ac:dyDescent="0.35">
      <c r="A457" s="1"/>
      <c r="C457" s="5"/>
      <c r="H457" s="5"/>
      <c r="I457" s="5"/>
      <c r="J457" s="2"/>
      <c r="K457" s="2"/>
      <c r="L457" s="4"/>
      <c r="M457" s="5"/>
      <c r="N457" s="5"/>
      <c r="O457" s="6"/>
    </row>
    <row r="458" spans="1:15" ht="14.25" customHeight="1" x14ac:dyDescent="0.35">
      <c r="A458" s="1"/>
      <c r="C458" s="5"/>
      <c r="H458" s="5"/>
      <c r="I458" s="5"/>
      <c r="J458" s="2"/>
      <c r="K458" s="2"/>
      <c r="L458" s="4"/>
      <c r="M458" s="5"/>
      <c r="N458" s="5"/>
      <c r="O458" s="6"/>
    </row>
    <row r="459" spans="1:15" ht="14.25" customHeight="1" x14ac:dyDescent="0.35">
      <c r="A459" s="1"/>
      <c r="C459" s="5"/>
      <c r="H459" s="5"/>
      <c r="I459" s="5"/>
      <c r="J459" s="2"/>
      <c r="K459" s="2"/>
      <c r="L459" s="4"/>
      <c r="M459" s="5"/>
      <c r="N459" s="5"/>
      <c r="O459" s="6"/>
    </row>
    <row r="460" spans="1:15" ht="14.25" customHeight="1" x14ac:dyDescent="0.35">
      <c r="A460" s="1"/>
      <c r="C460" s="5"/>
      <c r="H460" s="5"/>
      <c r="I460" s="5"/>
      <c r="J460" s="2"/>
      <c r="K460" s="2"/>
      <c r="L460" s="4"/>
      <c r="M460" s="5"/>
      <c r="N460" s="5"/>
      <c r="O460" s="6"/>
    </row>
    <row r="461" spans="1:15" ht="14.25" customHeight="1" x14ac:dyDescent="0.35">
      <c r="A461" s="1"/>
      <c r="C461" s="5"/>
      <c r="H461" s="5"/>
      <c r="I461" s="5"/>
      <c r="J461" s="2"/>
      <c r="K461" s="2"/>
      <c r="L461" s="4"/>
      <c r="M461" s="5"/>
      <c r="N461" s="5"/>
      <c r="O461" s="6"/>
    </row>
    <row r="462" spans="1:15" ht="14.25" customHeight="1" x14ac:dyDescent="0.35">
      <c r="A462" s="1"/>
      <c r="C462" s="5"/>
      <c r="H462" s="5"/>
      <c r="I462" s="5"/>
      <c r="J462" s="2"/>
      <c r="K462" s="2"/>
      <c r="L462" s="4"/>
      <c r="M462" s="5"/>
      <c r="N462" s="5"/>
      <c r="O462" s="6"/>
    </row>
    <row r="463" spans="1:15" ht="14.25" customHeight="1" x14ac:dyDescent="0.35">
      <c r="A463" s="1"/>
      <c r="C463" s="5"/>
      <c r="H463" s="5"/>
      <c r="I463" s="5"/>
      <c r="J463" s="2"/>
      <c r="K463" s="2"/>
      <c r="L463" s="4"/>
      <c r="M463" s="5"/>
      <c r="N463" s="5"/>
      <c r="O463" s="6"/>
    </row>
    <row r="464" spans="1:15" ht="14.25" customHeight="1" x14ac:dyDescent="0.35">
      <c r="A464" s="1"/>
      <c r="C464" s="5"/>
      <c r="H464" s="5"/>
      <c r="I464" s="5"/>
      <c r="J464" s="2"/>
      <c r="K464" s="2"/>
      <c r="L464" s="4"/>
      <c r="M464" s="5"/>
      <c r="N464" s="5"/>
      <c r="O464" s="6"/>
    </row>
    <row r="465" spans="1:15" ht="14.25" customHeight="1" x14ac:dyDescent="0.35">
      <c r="A465" s="1"/>
      <c r="C465" s="5"/>
      <c r="H465" s="5"/>
      <c r="I465" s="5"/>
      <c r="J465" s="2"/>
      <c r="K465" s="2"/>
      <c r="L465" s="4"/>
      <c r="M465" s="5"/>
      <c r="N465" s="5"/>
      <c r="O465" s="6"/>
    </row>
    <row r="466" spans="1:15" ht="14.25" customHeight="1" x14ac:dyDescent="0.35">
      <c r="A466" s="1"/>
      <c r="C466" s="5"/>
      <c r="H466" s="5"/>
      <c r="I466" s="5"/>
      <c r="J466" s="2"/>
      <c r="K466" s="2"/>
      <c r="L466" s="4"/>
      <c r="M466" s="5"/>
      <c r="N466" s="5"/>
      <c r="O466" s="6"/>
    </row>
    <row r="467" spans="1:15" ht="14.25" customHeight="1" x14ac:dyDescent="0.35">
      <c r="A467" s="1"/>
      <c r="C467" s="5"/>
      <c r="H467" s="5"/>
      <c r="I467" s="5"/>
      <c r="J467" s="2"/>
      <c r="K467" s="2"/>
      <c r="L467" s="4"/>
      <c r="M467" s="5"/>
      <c r="N467" s="5"/>
      <c r="O467" s="6"/>
    </row>
    <row r="468" spans="1:15" ht="14.25" customHeight="1" x14ac:dyDescent="0.35">
      <c r="A468" s="1"/>
      <c r="C468" s="5"/>
      <c r="H468" s="5"/>
      <c r="I468" s="5"/>
      <c r="J468" s="2"/>
      <c r="K468" s="2"/>
      <c r="L468" s="4"/>
      <c r="M468" s="5"/>
      <c r="N468" s="5"/>
      <c r="O468" s="6"/>
    </row>
    <row r="469" spans="1:15" ht="14.25" customHeight="1" x14ac:dyDescent="0.35">
      <c r="A469" s="1"/>
      <c r="C469" s="5"/>
      <c r="H469" s="5"/>
      <c r="I469" s="5"/>
      <c r="J469" s="2"/>
      <c r="K469" s="2"/>
      <c r="L469" s="4"/>
      <c r="M469" s="5"/>
      <c r="N469" s="5"/>
      <c r="O469" s="6"/>
    </row>
    <row r="470" spans="1:15" ht="14.25" customHeight="1" x14ac:dyDescent="0.35">
      <c r="A470" s="1"/>
      <c r="C470" s="5"/>
      <c r="H470" s="5"/>
      <c r="I470" s="5"/>
      <c r="J470" s="2"/>
      <c r="K470" s="2"/>
      <c r="L470" s="4"/>
      <c r="M470" s="5"/>
      <c r="N470" s="5"/>
      <c r="O470" s="6"/>
    </row>
    <row r="471" spans="1:15" ht="14.25" customHeight="1" x14ac:dyDescent="0.35">
      <c r="A471" s="1"/>
      <c r="C471" s="5"/>
      <c r="H471" s="5"/>
      <c r="I471" s="5"/>
      <c r="J471" s="2"/>
      <c r="K471" s="2"/>
      <c r="L471" s="4"/>
      <c r="M471" s="5"/>
      <c r="N471" s="5"/>
      <c r="O471" s="6"/>
    </row>
    <row r="472" spans="1:15" ht="14.25" customHeight="1" x14ac:dyDescent="0.35">
      <c r="A472" s="1"/>
      <c r="C472" s="5"/>
      <c r="H472" s="5"/>
      <c r="I472" s="5"/>
      <c r="J472" s="2"/>
      <c r="K472" s="2"/>
      <c r="L472" s="4"/>
      <c r="M472" s="5"/>
      <c r="N472" s="5"/>
      <c r="O472" s="6"/>
    </row>
    <row r="473" spans="1:15" ht="14.25" customHeight="1" x14ac:dyDescent="0.35">
      <c r="A473" s="1"/>
      <c r="C473" s="5"/>
      <c r="H473" s="5"/>
      <c r="I473" s="5"/>
      <c r="J473" s="2"/>
      <c r="K473" s="2"/>
      <c r="L473" s="4"/>
      <c r="M473" s="5"/>
      <c r="N473" s="5"/>
      <c r="O473" s="6"/>
    </row>
    <row r="474" spans="1:15" ht="14.25" customHeight="1" x14ac:dyDescent="0.35">
      <c r="A474" s="1"/>
      <c r="C474" s="5"/>
      <c r="H474" s="5"/>
      <c r="I474" s="5"/>
      <c r="J474" s="2"/>
      <c r="K474" s="2"/>
      <c r="L474" s="4"/>
      <c r="M474" s="5"/>
      <c r="N474" s="5"/>
      <c r="O474" s="6"/>
    </row>
    <row r="475" spans="1:15" ht="14.25" customHeight="1" x14ac:dyDescent="0.35">
      <c r="A475" s="1"/>
      <c r="C475" s="5"/>
      <c r="H475" s="5"/>
      <c r="I475" s="5"/>
      <c r="J475" s="2"/>
      <c r="K475" s="2"/>
      <c r="L475" s="4"/>
      <c r="M475" s="5"/>
      <c r="N475" s="5"/>
      <c r="O475" s="6"/>
    </row>
    <row r="476" spans="1:15" ht="14.25" customHeight="1" x14ac:dyDescent="0.35">
      <c r="A476" s="1"/>
      <c r="C476" s="5"/>
      <c r="H476" s="5"/>
      <c r="I476" s="5"/>
      <c r="J476" s="2"/>
      <c r="K476" s="2"/>
      <c r="L476" s="4"/>
      <c r="M476" s="5"/>
      <c r="N476" s="5"/>
      <c r="O476" s="6"/>
    </row>
    <row r="477" spans="1:15" ht="14.25" customHeight="1" x14ac:dyDescent="0.35">
      <c r="A477" s="1"/>
      <c r="C477" s="5"/>
      <c r="H477" s="5"/>
      <c r="I477" s="5"/>
      <c r="J477" s="2"/>
      <c r="K477" s="2"/>
      <c r="L477" s="4"/>
      <c r="M477" s="5"/>
      <c r="N477" s="5"/>
      <c r="O477" s="6"/>
    </row>
    <row r="478" spans="1:15" ht="14.25" customHeight="1" x14ac:dyDescent="0.35">
      <c r="A478" s="1"/>
      <c r="C478" s="5"/>
      <c r="H478" s="5"/>
      <c r="I478" s="5"/>
      <c r="J478" s="2"/>
      <c r="K478" s="2"/>
      <c r="L478" s="4"/>
      <c r="M478" s="5"/>
      <c r="N478" s="5"/>
      <c r="O478" s="6"/>
    </row>
    <row r="479" spans="1:15" ht="14.25" customHeight="1" x14ac:dyDescent="0.35">
      <c r="A479" s="1"/>
      <c r="C479" s="5"/>
      <c r="H479" s="5"/>
      <c r="I479" s="5"/>
      <c r="J479" s="2"/>
      <c r="K479" s="2"/>
      <c r="L479" s="4"/>
      <c r="M479" s="5"/>
      <c r="N479" s="5"/>
      <c r="O479" s="6"/>
    </row>
    <row r="480" spans="1:15" ht="14.25" customHeight="1" x14ac:dyDescent="0.35">
      <c r="A480" s="1"/>
      <c r="C480" s="5"/>
      <c r="H480" s="5"/>
      <c r="I480" s="5"/>
      <c r="J480" s="2"/>
      <c r="K480" s="2"/>
      <c r="L480" s="4"/>
      <c r="M480" s="5"/>
      <c r="N480" s="5"/>
      <c r="O480" s="6"/>
    </row>
    <row r="481" spans="1:15" ht="14.25" customHeight="1" x14ac:dyDescent="0.35">
      <c r="A481" s="1"/>
      <c r="C481" s="5"/>
      <c r="H481" s="5"/>
      <c r="I481" s="5"/>
      <c r="J481" s="2"/>
      <c r="K481" s="2"/>
      <c r="L481" s="4"/>
      <c r="M481" s="5"/>
      <c r="N481" s="5"/>
      <c r="O481" s="6"/>
    </row>
    <row r="482" spans="1:15" ht="14.25" customHeight="1" x14ac:dyDescent="0.35">
      <c r="A482" s="1"/>
      <c r="C482" s="5"/>
      <c r="H482" s="5"/>
      <c r="I482" s="5"/>
      <c r="J482" s="2"/>
      <c r="K482" s="2"/>
      <c r="L482" s="4"/>
      <c r="M482" s="5"/>
      <c r="N482" s="5"/>
      <c r="O482" s="6"/>
    </row>
    <row r="483" spans="1:15" ht="14.25" customHeight="1" x14ac:dyDescent="0.35">
      <c r="A483" s="1"/>
      <c r="C483" s="5"/>
      <c r="H483" s="5"/>
      <c r="I483" s="5"/>
      <c r="J483" s="2"/>
      <c r="K483" s="2"/>
      <c r="L483" s="4"/>
      <c r="M483" s="5"/>
      <c r="N483" s="5"/>
      <c r="O483" s="6"/>
    </row>
    <row r="484" spans="1:15" ht="14.25" customHeight="1" x14ac:dyDescent="0.35">
      <c r="A484" s="1"/>
      <c r="C484" s="5"/>
      <c r="H484" s="5"/>
      <c r="I484" s="5"/>
      <c r="J484" s="2"/>
      <c r="K484" s="2"/>
      <c r="L484" s="4"/>
      <c r="M484" s="5"/>
      <c r="N484" s="5"/>
      <c r="O484" s="6"/>
    </row>
    <row r="485" spans="1:15" ht="14.25" customHeight="1" x14ac:dyDescent="0.35">
      <c r="A485" s="1"/>
      <c r="C485" s="5"/>
      <c r="H485" s="5"/>
      <c r="I485" s="5"/>
      <c r="J485" s="2"/>
      <c r="K485" s="2"/>
      <c r="L485" s="4"/>
      <c r="M485" s="5"/>
      <c r="N485" s="5"/>
      <c r="O485" s="6"/>
    </row>
    <row r="486" spans="1:15" ht="14.25" customHeight="1" x14ac:dyDescent="0.35">
      <c r="A486" s="1"/>
      <c r="C486" s="5"/>
      <c r="H486" s="5"/>
      <c r="I486" s="5"/>
      <c r="J486" s="2"/>
      <c r="K486" s="2"/>
      <c r="L486" s="4"/>
      <c r="M486" s="5"/>
      <c r="N486" s="5"/>
      <c r="O486" s="6"/>
    </row>
    <row r="487" spans="1:15" ht="14.25" customHeight="1" x14ac:dyDescent="0.35">
      <c r="A487" s="1"/>
      <c r="C487" s="5"/>
      <c r="H487" s="5"/>
      <c r="I487" s="5"/>
      <c r="J487" s="2"/>
      <c r="K487" s="2"/>
      <c r="L487" s="4"/>
      <c r="M487" s="5"/>
      <c r="N487" s="5"/>
      <c r="O487" s="6"/>
    </row>
    <row r="488" spans="1:15" ht="14.25" customHeight="1" x14ac:dyDescent="0.35">
      <c r="A488" s="1"/>
      <c r="C488" s="5"/>
      <c r="H488" s="5"/>
      <c r="I488" s="5"/>
      <c r="J488" s="2"/>
      <c r="K488" s="2"/>
      <c r="L488" s="4"/>
      <c r="M488" s="5"/>
      <c r="N488" s="5"/>
      <c r="O488" s="6"/>
    </row>
    <row r="489" spans="1:15" ht="14.25" customHeight="1" x14ac:dyDescent="0.35">
      <c r="A489" s="1"/>
      <c r="C489" s="5"/>
      <c r="H489" s="5"/>
      <c r="I489" s="5"/>
      <c r="J489" s="2"/>
      <c r="K489" s="2"/>
      <c r="L489" s="4"/>
      <c r="M489" s="5"/>
      <c r="N489" s="5"/>
      <c r="O489" s="6"/>
    </row>
    <row r="490" spans="1:15" ht="14.25" customHeight="1" x14ac:dyDescent="0.35">
      <c r="A490" s="1"/>
      <c r="C490" s="5"/>
      <c r="H490" s="5"/>
      <c r="I490" s="5"/>
      <c r="J490" s="2"/>
      <c r="K490" s="2"/>
      <c r="L490" s="4"/>
      <c r="M490" s="5"/>
      <c r="N490" s="5"/>
      <c r="O490" s="6"/>
    </row>
    <row r="491" spans="1:15" ht="14.25" customHeight="1" x14ac:dyDescent="0.35">
      <c r="A491" s="1"/>
      <c r="C491" s="5"/>
      <c r="H491" s="5"/>
      <c r="I491" s="5"/>
      <c r="J491" s="2"/>
      <c r="K491" s="2"/>
      <c r="L491" s="4"/>
      <c r="M491" s="5"/>
      <c r="N491" s="5"/>
      <c r="O491" s="6"/>
    </row>
    <row r="492" spans="1:15" ht="14.25" customHeight="1" x14ac:dyDescent="0.35">
      <c r="A492" s="1"/>
      <c r="C492" s="5"/>
      <c r="H492" s="5"/>
      <c r="I492" s="5"/>
      <c r="J492" s="2"/>
      <c r="K492" s="2"/>
      <c r="L492" s="4"/>
      <c r="M492" s="5"/>
      <c r="N492" s="5"/>
      <c r="O492" s="6"/>
    </row>
    <row r="493" spans="1:15" ht="14.25" customHeight="1" x14ac:dyDescent="0.35">
      <c r="A493" s="1"/>
      <c r="C493" s="5"/>
      <c r="H493" s="5"/>
      <c r="I493" s="5"/>
      <c r="J493" s="2"/>
      <c r="K493" s="2"/>
      <c r="L493" s="4"/>
      <c r="M493" s="5"/>
      <c r="N493" s="5"/>
      <c r="O493" s="6"/>
    </row>
    <row r="494" spans="1:15" ht="14.25" customHeight="1" x14ac:dyDescent="0.35">
      <c r="A494" s="1"/>
      <c r="C494" s="5"/>
      <c r="H494" s="5"/>
      <c r="I494" s="5"/>
      <c r="J494" s="2"/>
      <c r="K494" s="2"/>
      <c r="L494" s="4"/>
      <c r="M494" s="5"/>
      <c r="N494" s="5"/>
      <c r="O494" s="6"/>
    </row>
    <row r="495" spans="1:15" ht="14.25" customHeight="1" x14ac:dyDescent="0.35">
      <c r="A495" s="1"/>
      <c r="C495" s="5"/>
      <c r="H495" s="5"/>
      <c r="I495" s="5"/>
      <c r="J495" s="2"/>
      <c r="K495" s="2"/>
      <c r="L495" s="4"/>
      <c r="M495" s="5"/>
      <c r="N495" s="5"/>
      <c r="O495" s="6"/>
    </row>
    <row r="496" spans="1:15" ht="14.25" customHeight="1" x14ac:dyDescent="0.35">
      <c r="A496" s="1"/>
      <c r="C496" s="5"/>
      <c r="H496" s="5"/>
      <c r="I496" s="5"/>
      <c r="J496" s="2"/>
      <c r="K496" s="2"/>
      <c r="L496" s="4"/>
      <c r="M496" s="5"/>
      <c r="N496" s="5"/>
      <c r="O496" s="6"/>
    </row>
    <row r="497" spans="1:16" ht="14.25" customHeight="1" x14ac:dyDescent="0.35">
      <c r="A497" s="1"/>
      <c r="C497" s="5"/>
      <c r="H497" s="5"/>
      <c r="I497" s="5"/>
      <c r="J497" s="2"/>
      <c r="K497" s="2"/>
      <c r="L497" s="4"/>
      <c r="M497" s="5"/>
      <c r="N497" s="5"/>
      <c r="O497" s="6"/>
    </row>
    <row r="498" spans="1:16" ht="14.25" customHeight="1" x14ac:dyDescent="0.35">
      <c r="A498" s="1"/>
      <c r="C498" s="5"/>
      <c r="H498" s="5"/>
      <c r="I498" s="5"/>
      <c r="J498" s="2"/>
      <c r="K498" s="2"/>
      <c r="L498" s="4"/>
      <c r="M498" s="5"/>
      <c r="N498" s="5"/>
      <c r="O498" s="6"/>
    </row>
    <row r="499" spans="1:16" ht="15.75" customHeight="1" x14ac:dyDescent="0.3">
      <c r="O499" s="7"/>
      <c r="P499" s="7"/>
    </row>
    <row r="500" spans="1:16" ht="15.75" customHeight="1" x14ac:dyDescent="0.3">
      <c r="O500" s="7"/>
      <c r="P500" s="7"/>
    </row>
    <row r="501" spans="1:16" ht="15.75" customHeight="1" x14ac:dyDescent="0.3">
      <c r="O501" s="7"/>
      <c r="P501" s="7"/>
    </row>
    <row r="502" spans="1:16" ht="15.75" customHeight="1" x14ac:dyDescent="0.3">
      <c r="O502" s="7"/>
      <c r="P502" s="7"/>
    </row>
    <row r="503" spans="1:16" ht="15.75" customHeight="1" x14ac:dyDescent="0.3">
      <c r="O503" s="7"/>
      <c r="P503" s="7"/>
    </row>
    <row r="504" spans="1:16" ht="15.75" customHeight="1" x14ac:dyDescent="0.3">
      <c r="O504" s="7"/>
      <c r="P504" s="7"/>
    </row>
    <row r="505" spans="1:16" ht="15.75" customHeight="1" x14ac:dyDescent="0.3">
      <c r="O505" s="7"/>
      <c r="P505" s="7"/>
    </row>
    <row r="506" spans="1:16" ht="15.75" customHeight="1" x14ac:dyDescent="0.3">
      <c r="O506" s="7"/>
      <c r="P506" s="7"/>
    </row>
    <row r="507" spans="1:16" ht="15.75" customHeight="1" x14ac:dyDescent="0.3">
      <c r="O507" s="7"/>
      <c r="P507" s="7"/>
    </row>
    <row r="508" spans="1:16" ht="15.75" customHeight="1" x14ac:dyDescent="0.3">
      <c r="O508" s="7"/>
      <c r="P508" s="7"/>
    </row>
    <row r="509" spans="1:16" ht="15.75" customHeight="1" x14ac:dyDescent="0.3">
      <c r="O509" s="7"/>
      <c r="P509" s="7"/>
    </row>
    <row r="510" spans="1:16" ht="15.75" customHeight="1" x14ac:dyDescent="0.3">
      <c r="O510" s="7"/>
      <c r="P510" s="7"/>
    </row>
    <row r="511" spans="1:16" ht="15.75" customHeight="1" x14ac:dyDescent="0.3">
      <c r="O511" s="7"/>
      <c r="P511" s="7"/>
    </row>
    <row r="512" spans="1:16" ht="15.75" customHeight="1" x14ac:dyDescent="0.3">
      <c r="O512" s="7"/>
      <c r="P512" s="7"/>
    </row>
    <row r="513" spans="15:16" ht="15.75" customHeight="1" x14ac:dyDescent="0.3">
      <c r="O513" s="7"/>
      <c r="P513" s="7"/>
    </row>
    <row r="514" spans="15:16" ht="15.75" customHeight="1" x14ac:dyDescent="0.3">
      <c r="O514" s="7"/>
      <c r="P514" s="7"/>
    </row>
    <row r="515" spans="15:16" ht="15.75" customHeight="1" x14ac:dyDescent="0.3">
      <c r="O515" s="7"/>
      <c r="P515" s="7"/>
    </row>
    <row r="516" spans="15:16" ht="15.75" customHeight="1" x14ac:dyDescent="0.3">
      <c r="O516" s="7"/>
      <c r="P516" s="7"/>
    </row>
    <row r="517" spans="15:16" ht="15.75" customHeight="1" x14ac:dyDescent="0.3">
      <c r="O517" s="7"/>
      <c r="P517" s="7"/>
    </row>
    <row r="518" spans="15:16" ht="15.75" customHeight="1" x14ac:dyDescent="0.3">
      <c r="O518" s="7"/>
      <c r="P518" s="7"/>
    </row>
    <row r="519" spans="15:16" ht="15.75" customHeight="1" x14ac:dyDescent="0.3">
      <c r="O519" s="7"/>
      <c r="P519" s="7"/>
    </row>
    <row r="520" spans="15:16" ht="15.75" customHeight="1" x14ac:dyDescent="0.3">
      <c r="O520" s="7"/>
      <c r="P520" s="7"/>
    </row>
    <row r="521" spans="15:16" ht="15.75" customHeight="1" x14ac:dyDescent="0.3">
      <c r="O521" s="7"/>
      <c r="P521" s="7"/>
    </row>
    <row r="522" spans="15:16" ht="15.75" customHeight="1" x14ac:dyDescent="0.3">
      <c r="O522" s="7"/>
      <c r="P522" s="7"/>
    </row>
    <row r="523" spans="15:16" ht="15.75" customHeight="1" x14ac:dyDescent="0.3">
      <c r="O523" s="7"/>
      <c r="P523" s="7"/>
    </row>
    <row r="524" spans="15:16" ht="15.75" customHeight="1" x14ac:dyDescent="0.3">
      <c r="O524" s="7"/>
      <c r="P524" s="7"/>
    </row>
    <row r="525" spans="15:16" ht="15.75" customHeight="1" x14ac:dyDescent="0.3">
      <c r="O525" s="7"/>
      <c r="P525" s="7"/>
    </row>
    <row r="526" spans="15:16" ht="15.75" customHeight="1" x14ac:dyDescent="0.3">
      <c r="O526" s="7"/>
      <c r="P526" s="7"/>
    </row>
    <row r="527" spans="15:16" ht="15.75" customHeight="1" x14ac:dyDescent="0.3">
      <c r="O527" s="7"/>
      <c r="P527" s="7"/>
    </row>
    <row r="528" spans="15:16" ht="15.75" customHeight="1" x14ac:dyDescent="0.3">
      <c r="O528" s="7"/>
      <c r="P528" s="7"/>
    </row>
    <row r="529" spans="15:16" ht="15.75" customHeight="1" x14ac:dyDescent="0.3">
      <c r="O529" s="7"/>
      <c r="P529" s="7"/>
    </row>
    <row r="530" spans="15:16" ht="15.75" customHeight="1" x14ac:dyDescent="0.3">
      <c r="O530" s="7"/>
      <c r="P530" s="7"/>
    </row>
    <row r="531" spans="15:16" ht="15.75" customHeight="1" x14ac:dyDescent="0.3">
      <c r="O531" s="7"/>
      <c r="P531" s="7"/>
    </row>
    <row r="532" spans="15:16" ht="15.75" customHeight="1" x14ac:dyDescent="0.3">
      <c r="O532" s="7"/>
      <c r="P532" s="7"/>
    </row>
    <row r="533" spans="15:16" ht="15.75" customHeight="1" x14ac:dyDescent="0.3">
      <c r="O533" s="7"/>
      <c r="P533" s="7"/>
    </row>
    <row r="534" spans="15:16" ht="15.75" customHeight="1" x14ac:dyDescent="0.3">
      <c r="O534" s="7"/>
      <c r="P534" s="7"/>
    </row>
    <row r="535" spans="15:16" ht="15.75" customHeight="1" x14ac:dyDescent="0.3">
      <c r="O535" s="7"/>
      <c r="P535" s="7"/>
    </row>
    <row r="536" spans="15:16" ht="15.75" customHeight="1" x14ac:dyDescent="0.3">
      <c r="O536" s="7"/>
      <c r="P536" s="7"/>
    </row>
    <row r="537" spans="15:16" ht="15.75" customHeight="1" x14ac:dyDescent="0.3">
      <c r="O537" s="7"/>
      <c r="P537" s="7"/>
    </row>
    <row r="538" spans="15:16" ht="15.75" customHeight="1" x14ac:dyDescent="0.3">
      <c r="O538" s="7"/>
      <c r="P538" s="7"/>
    </row>
    <row r="539" spans="15:16" ht="15.75" customHeight="1" x14ac:dyDescent="0.3">
      <c r="O539" s="7"/>
      <c r="P539" s="7"/>
    </row>
    <row r="540" spans="15:16" ht="15.75" customHeight="1" x14ac:dyDescent="0.3">
      <c r="O540" s="7"/>
      <c r="P540" s="7"/>
    </row>
    <row r="541" spans="15:16" ht="15.75" customHeight="1" x14ac:dyDescent="0.3">
      <c r="O541" s="7"/>
      <c r="P541" s="7"/>
    </row>
    <row r="542" spans="15:16" ht="15.75" customHeight="1" x14ac:dyDescent="0.3">
      <c r="O542" s="7"/>
      <c r="P542" s="7"/>
    </row>
    <row r="543" spans="15:16" ht="15.75" customHeight="1" x14ac:dyDescent="0.3">
      <c r="O543" s="7"/>
      <c r="P543" s="7"/>
    </row>
    <row r="544" spans="15:16" ht="15.75" customHeight="1" x14ac:dyDescent="0.3">
      <c r="O544" s="7"/>
      <c r="P544" s="7"/>
    </row>
    <row r="545" spans="15:16" ht="15.75" customHeight="1" x14ac:dyDescent="0.3">
      <c r="O545" s="7"/>
      <c r="P545" s="7"/>
    </row>
    <row r="546" spans="15:16" ht="15.75" customHeight="1" x14ac:dyDescent="0.3">
      <c r="O546" s="7"/>
      <c r="P546" s="7"/>
    </row>
    <row r="547" spans="15:16" ht="15.75" customHeight="1" x14ac:dyDescent="0.3">
      <c r="O547" s="7"/>
      <c r="P547" s="7"/>
    </row>
    <row r="548" spans="15:16" ht="15.75" customHeight="1" x14ac:dyDescent="0.3">
      <c r="O548" s="7"/>
      <c r="P548" s="7"/>
    </row>
    <row r="549" spans="15:16" ht="15.75" customHeight="1" x14ac:dyDescent="0.3">
      <c r="O549" s="7"/>
      <c r="P549" s="7"/>
    </row>
    <row r="550" spans="15:16" ht="15.75" customHeight="1" x14ac:dyDescent="0.3">
      <c r="O550" s="7"/>
      <c r="P550" s="7"/>
    </row>
    <row r="551" spans="15:16" ht="15.75" customHeight="1" x14ac:dyDescent="0.3">
      <c r="O551" s="7"/>
      <c r="P551" s="7"/>
    </row>
    <row r="552" spans="15:16" ht="15.75" customHeight="1" x14ac:dyDescent="0.3">
      <c r="O552" s="7"/>
      <c r="P552" s="7"/>
    </row>
    <row r="553" spans="15:16" ht="15.75" customHeight="1" x14ac:dyDescent="0.3">
      <c r="O553" s="7"/>
      <c r="P553" s="7"/>
    </row>
    <row r="554" spans="15:16" ht="15.75" customHeight="1" x14ac:dyDescent="0.3">
      <c r="O554" s="7"/>
      <c r="P554" s="7"/>
    </row>
    <row r="555" spans="15:16" ht="15.75" customHeight="1" x14ac:dyDescent="0.3">
      <c r="O555" s="7"/>
      <c r="P555" s="7"/>
    </row>
    <row r="556" spans="15:16" ht="15.75" customHeight="1" x14ac:dyDescent="0.3">
      <c r="O556" s="7"/>
      <c r="P556" s="7"/>
    </row>
    <row r="557" spans="15:16" ht="15.75" customHeight="1" x14ac:dyDescent="0.3">
      <c r="O557" s="7"/>
      <c r="P557" s="7"/>
    </row>
    <row r="558" spans="15:16" ht="15.75" customHeight="1" x14ac:dyDescent="0.3">
      <c r="O558" s="7"/>
      <c r="P558" s="7"/>
    </row>
    <row r="559" spans="15:16" ht="15.75" customHeight="1" x14ac:dyDescent="0.3">
      <c r="O559" s="7"/>
      <c r="P559" s="7"/>
    </row>
    <row r="560" spans="15:16" ht="15.75" customHeight="1" x14ac:dyDescent="0.3">
      <c r="O560" s="7"/>
      <c r="P560" s="7"/>
    </row>
    <row r="561" spans="15:16" ht="15.75" customHeight="1" x14ac:dyDescent="0.3">
      <c r="O561" s="7"/>
      <c r="P561" s="7"/>
    </row>
    <row r="562" spans="15:16" ht="15.75" customHeight="1" x14ac:dyDescent="0.3">
      <c r="O562" s="7"/>
      <c r="P562" s="7"/>
    </row>
    <row r="563" spans="15:16" ht="15.75" customHeight="1" x14ac:dyDescent="0.3">
      <c r="O563" s="7"/>
      <c r="P563" s="7"/>
    </row>
    <row r="564" spans="15:16" ht="15.75" customHeight="1" x14ac:dyDescent="0.3">
      <c r="O564" s="7"/>
      <c r="P564" s="7"/>
    </row>
    <row r="565" spans="15:16" ht="15.75" customHeight="1" x14ac:dyDescent="0.3">
      <c r="O565" s="7"/>
      <c r="P565" s="7"/>
    </row>
    <row r="566" spans="15:16" ht="15.75" customHeight="1" x14ac:dyDescent="0.3">
      <c r="O566" s="7"/>
      <c r="P566" s="7"/>
    </row>
    <row r="567" spans="15:16" ht="15.75" customHeight="1" x14ac:dyDescent="0.3">
      <c r="O567" s="7"/>
      <c r="P567" s="7"/>
    </row>
    <row r="568" spans="15:16" ht="15.75" customHeight="1" x14ac:dyDescent="0.3">
      <c r="O568" s="7"/>
      <c r="P568" s="7"/>
    </row>
    <row r="569" spans="15:16" ht="15.75" customHeight="1" x14ac:dyDescent="0.3">
      <c r="O569" s="7"/>
      <c r="P569" s="7"/>
    </row>
    <row r="570" spans="15:16" ht="15.75" customHeight="1" x14ac:dyDescent="0.3">
      <c r="O570" s="7"/>
      <c r="P570" s="7"/>
    </row>
    <row r="571" spans="15:16" ht="15.75" customHeight="1" x14ac:dyDescent="0.3">
      <c r="O571" s="7"/>
      <c r="P571" s="7"/>
    </row>
    <row r="572" spans="15:16" ht="15.75" customHeight="1" x14ac:dyDescent="0.3">
      <c r="O572" s="7"/>
      <c r="P572" s="7"/>
    </row>
    <row r="573" spans="15:16" ht="15.75" customHeight="1" x14ac:dyDescent="0.3">
      <c r="O573" s="7"/>
      <c r="P573" s="7"/>
    </row>
    <row r="574" spans="15:16" ht="15.75" customHeight="1" x14ac:dyDescent="0.3">
      <c r="O574" s="7"/>
      <c r="P574" s="7"/>
    </row>
    <row r="575" spans="15:16" ht="15.75" customHeight="1" x14ac:dyDescent="0.3">
      <c r="O575" s="7"/>
      <c r="P575" s="7"/>
    </row>
    <row r="576" spans="15:16" ht="15.75" customHeight="1" x14ac:dyDescent="0.3">
      <c r="O576" s="7"/>
      <c r="P576" s="7"/>
    </row>
    <row r="577" spans="15:16" ht="15.75" customHeight="1" x14ac:dyDescent="0.3">
      <c r="O577" s="7"/>
      <c r="P577" s="7"/>
    </row>
    <row r="578" spans="15:16" ht="15.75" customHeight="1" x14ac:dyDescent="0.3">
      <c r="O578" s="7"/>
      <c r="P578" s="7"/>
    </row>
    <row r="579" spans="15:16" ht="15.75" customHeight="1" x14ac:dyDescent="0.3">
      <c r="O579" s="7"/>
      <c r="P579" s="7"/>
    </row>
    <row r="580" spans="15:16" ht="15.75" customHeight="1" x14ac:dyDescent="0.3">
      <c r="O580" s="7"/>
      <c r="P580" s="7"/>
    </row>
    <row r="581" spans="15:16" ht="15.75" customHeight="1" x14ac:dyDescent="0.3">
      <c r="O581" s="7"/>
      <c r="P581" s="7"/>
    </row>
    <row r="582" spans="15:16" ht="15.75" customHeight="1" x14ac:dyDescent="0.3">
      <c r="O582" s="7"/>
      <c r="P582" s="7"/>
    </row>
    <row r="583" spans="15:16" ht="15.75" customHeight="1" x14ac:dyDescent="0.3">
      <c r="O583" s="7"/>
      <c r="P583" s="7"/>
    </row>
    <row r="584" spans="15:16" ht="15.75" customHeight="1" x14ac:dyDescent="0.3">
      <c r="O584" s="7"/>
      <c r="P584" s="7"/>
    </row>
    <row r="585" spans="15:16" ht="15.75" customHeight="1" x14ac:dyDescent="0.3">
      <c r="O585" s="7"/>
      <c r="P585" s="7"/>
    </row>
    <row r="586" spans="15:16" ht="15.75" customHeight="1" x14ac:dyDescent="0.3">
      <c r="O586" s="7"/>
      <c r="P586" s="7"/>
    </row>
    <row r="587" spans="15:16" ht="15.75" customHeight="1" x14ac:dyDescent="0.3">
      <c r="O587" s="7"/>
      <c r="P587" s="7"/>
    </row>
    <row r="588" spans="15:16" ht="15.75" customHeight="1" x14ac:dyDescent="0.3">
      <c r="O588" s="7"/>
      <c r="P588" s="7"/>
    </row>
    <row r="589" spans="15:16" ht="15.75" customHeight="1" x14ac:dyDescent="0.3">
      <c r="O589" s="7"/>
      <c r="P589" s="7"/>
    </row>
    <row r="590" spans="15:16" ht="15.75" customHeight="1" x14ac:dyDescent="0.3">
      <c r="O590" s="7"/>
      <c r="P590" s="7"/>
    </row>
    <row r="591" spans="15:16" ht="15.75" customHeight="1" x14ac:dyDescent="0.3">
      <c r="O591" s="7"/>
      <c r="P591" s="7"/>
    </row>
    <row r="592" spans="15:16" ht="15.75" customHeight="1" x14ac:dyDescent="0.3">
      <c r="O592" s="7"/>
      <c r="P592" s="7"/>
    </row>
    <row r="593" spans="15:16" ht="15.75" customHeight="1" x14ac:dyDescent="0.3">
      <c r="O593" s="7"/>
      <c r="P593" s="7"/>
    </row>
    <row r="594" spans="15:16" ht="15.75" customHeight="1" x14ac:dyDescent="0.3">
      <c r="O594" s="7"/>
      <c r="P594" s="7"/>
    </row>
    <row r="595" spans="15:16" ht="15.75" customHeight="1" x14ac:dyDescent="0.3">
      <c r="O595" s="7"/>
      <c r="P595" s="7"/>
    </row>
    <row r="596" spans="15:16" ht="15.75" customHeight="1" x14ac:dyDescent="0.3">
      <c r="O596" s="7"/>
      <c r="P596" s="7"/>
    </row>
    <row r="597" spans="15:16" ht="15.75" customHeight="1" x14ac:dyDescent="0.3">
      <c r="O597" s="7"/>
      <c r="P597" s="7"/>
    </row>
    <row r="598" spans="15:16" ht="15.75" customHeight="1" x14ac:dyDescent="0.3">
      <c r="O598" s="7"/>
      <c r="P598" s="7"/>
    </row>
    <row r="599" spans="15:16" ht="15.75" customHeight="1" x14ac:dyDescent="0.3">
      <c r="O599" s="7"/>
      <c r="P599" s="7"/>
    </row>
    <row r="600" spans="15:16" ht="15.75" customHeight="1" x14ac:dyDescent="0.3">
      <c r="O600" s="7"/>
      <c r="P600" s="7"/>
    </row>
    <row r="601" spans="15:16" ht="15.75" customHeight="1" x14ac:dyDescent="0.3">
      <c r="O601" s="7"/>
      <c r="P601" s="7"/>
    </row>
    <row r="602" spans="15:16" ht="15.75" customHeight="1" x14ac:dyDescent="0.3">
      <c r="O602" s="7"/>
      <c r="P602" s="7"/>
    </row>
    <row r="603" spans="15:16" ht="15.75" customHeight="1" x14ac:dyDescent="0.3">
      <c r="O603" s="7"/>
      <c r="P603" s="7"/>
    </row>
    <row r="604" spans="15:16" ht="15.75" customHeight="1" x14ac:dyDescent="0.3">
      <c r="O604" s="7"/>
      <c r="P604" s="7"/>
    </row>
    <row r="605" spans="15:16" ht="15.75" customHeight="1" x14ac:dyDescent="0.3">
      <c r="O605" s="7"/>
      <c r="P605" s="7"/>
    </row>
    <row r="606" spans="15:16" ht="15.75" customHeight="1" x14ac:dyDescent="0.3">
      <c r="O606" s="7"/>
      <c r="P606" s="7"/>
    </row>
    <row r="607" spans="15:16" ht="15.75" customHeight="1" x14ac:dyDescent="0.3">
      <c r="O607" s="7"/>
      <c r="P607" s="7"/>
    </row>
    <row r="608" spans="15:16" ht="15.75" customHeight="1" x14ac:dyDescent="0.3">
      <c r="O608" s="7"/>
      <c r="P608" s="7"/>
    </row>
    <row r="609" spans="15:16" ht="15.75" customHeight="1" x14ac:dyDescent="0.3">
      <c r="O609" s="7"/>
      <c r="P609" s="7"/>
    </row>
    <row r="610" spans="15:16" ht="15.75" customHeight="1" x14ac:dyDescent="0.3">
      <c r="O610" s="7"/>
      <c r="P610" s="7"/>
    </row>
    <row r="611" spans="15:16" ht="15.75" customHeight="1" x14ac:dyDescent="0.3">
      <c r="O611" s="7"/>
      <c r="P611" s="7"/>
    </row>
    <row r="612" spans="15:16" ht="15.75" customHeight="1" x14ac:dyDescent="0.3">
      <c r="O612" s="7"/>
      <c r="P612" s="7"/>
    </row>
    <row r="613" spans="15:16" ht="15.75" customHeight="1" x14ac:dyDescent="0.3">
      <c r="O613" s="7"/>
      <c r="P613" s="7"/>
    </row>
    <row r="614" spans="15:16" ht="15.75" customHeight="1" x14ac:dyDescent="0.3">
      <c r="O614" s="7"/>
      <c r="P614" s="7"/>
    </row>
    <row r="615" spans="15:16" ht="15.75" customHeight="1" x14ac:dyDescent="0.3">
      <c r="O615" s="7"/>
      <c r="P615" s="7"/>
    </row>
    <row r="616" spans="15:16" ht="15.75" customHeight="1" x14ac:dyDescent="0.3">
      <c r="O616" s="7"/>
      <c r="P616" s="7"/>
    </row>
    <row r="617" spans="15:16" ht="15.75" customHeight="1" x14ac:dyDescent="0.3">
      <c r="O617" s="7"/>
      <c r="P617" s="7"/>
    </row>
    <row r="618" spans="15:16" ht="15.75" customHeight="1" x14ac:dyDescent="0.3">
      <c r="O618" s="7"/>
      <c r="P618" s="7"/>
    </row>
    <row r="619" spans="15:16" ht="15.75" customHeight="1" x14ac:dyDescent="0.3">
      <c r="O619" s="7"/>
      <c r="P619" s="7"/>
    </row>
    <row r="620" spans="15:16" ht="15.75" customHeight="1" x14ac:dyDescent="0.3">
      <c r="O620" s="7"/>
      <c r="P620" s="7"/>
    </row>
    <row r="621" spans="15:16" ht="15.75" customHeight="1" x14ac:dyDescent="0.3">
      <c r="O621" s="7"/>
      <c r="P621" s="7"/>
    </row>
    <row r="622" spans="15:16" ht="15.75" customHeight="1" x14ac:dyDescent="0.3">
      <c r="O622" s="7"/>
      <c r="P622" s="7"/>
    </row>
    <row r="623" spans="15:16" ht="15.75" customHeight="1" x14ac:dyDescent="0.3">
      <c r="O623" s="7"/>
      <c r="P623" s="7"/>
    </row>
    <row r="624" spans="15:16" ht="15.75" customHeight="1" x14ac:dyDescent="0.3">
      <c r="O624" s="7"/>
      <c r="P624" s="7"/>
    </row>
    <row r="625" spans="15:16" ht="15.75" customHeight="1" x14ac:dyDescent="0.3">
      <c r="O625" s="7"/>
      <c r="P625" s="7"/>
    </row>
    <row r="626" spans="15:16" ht="15.75" customHeight="1" x14ac:dyDescent="0.3">
      <c r="O626" s="7"/>
      <c r="P626" s="7"/>
    </row>
    <row r="627" spans="15:16" ht="15.75" customHeight="1" x14ac:dyDescent="0.3">
      <c r="O627" s="7"/>
      <c r="P627" s="7"/>
    </row>
    <row r="628" spans="15:16" ht="15.75" customHeight="1" x14ac:dyDescent="0.3">
      <c r="O628" s="7"/>
      <c r="P628" s="7"/>
    </row>
    <row r="629" spans="15:16" ht="15.75" customHeight="1" x14ac:dyDescent="0.3">
      <c r="O629" s="7"/>
      <c r="P629" s="7"/>
    </row>
    <row r="630" spans="15:16" ht="15.75" customHeight="1" x14ac:dyDescent="0.3">
      <c r="O630" s="7"/>
      <c r="P630" s="7"/>
    </row>
    <row r="631" spans="15:16" ht="15.75" customHeight="1" x14ac:dyDescent="0.3">
      <c r="O631" s="7"/>
      <c r="P631" s="7"/>
    </row>
    <row r="632" spans="15:16" ht="15.75" customHeight="1" x14ac:dyDescent="0.3">
      <c r="O632" s="7"/>
      <c r="P632" s="7"/>
    </row>
    <row r="633" spans="15:16" ht="15.75" customHeight="1" x14ac:dyDescent="0.3">
      <c r="O633" s="7"/>
      <c r="P633" s="7"/>
    </row>
    <row r="634" spans="15:16" ht="15.75" customHeight="1" x14ac:dyDescent="0.3">
      <c r="O634" s="7"/>
      <c r="P634" s="7"/>
    </row>
    <row r="635" spans="15:16" ht="15.75" customHeight="1" x14ac:dyDescent="0.3">
      <c r="O635" s="7"/>
      <c r="P635" s="7"/>
    </row>
    <row r="636" spans="15:16" ht="15.75" customHeight="1" x14ac:dyDescent="0.3">
      <c r="O636" s="7"/>
      <c r="P636" s="7"/>
    </row>
    <row r="637" spans="15:16" ht="15.75" customHeight="1" x14ac:dyDescent="0.3">
      <c r="O637" s="7"/>
      <c r="P637" s="7"/>
    </row>
    <row r="638" spans="15:16" ht="15.75" customHeight="1" x14ac:dyDescent="0.3">
      <c r="O638" s="7"/>
      <c r="P638" s="7"/>
    </row>
    <row r="639" spans="15:16" ht="15.75" customHeight="1" x14ac:dyDescent="0.3">
      <c r="O639" s="7"/>
      <c r="P639" s="7"/>
    </row>
    <row r="640" spans="15:16" ht="15.75" customHeight="1" x14ac:dyDescent="0.3">
      <c r="O640" s="7"/>
      <c r="P640" s="7"/>
    </row>
    <row r="641" spans="15:16" ht="15.75" customHeight="1" x14ac:dyDescent="0.3">
      <c r="O641" s="7"/>
      <c r="P641" s="7"/>
    </row>
    <row r="642" spans="15:16" ht="15.75" customHeight="1" x14ac:dyDescent="0.3">
      <c r="O642" s="7"/>
      <c r="P642" s="7"/>
    </row>
    <row r="643" spans="15:16" ht="15.75" customHeight="1" x14ac:dyDescent="0.3">
      <c r="O643" s="7"/>
      <c r="P643" s="7"/>
    </row>
    <row r="644" spans="15:16" ht="15.75" customHeight="1" x14ac:dyDescent="0.3">
      <c r="O644" s="7"/>
      <c r="P644" s="7"/>
    </row>
    <row r="645" spans="15:16" ht="15.75" customHeight="1" x14ac:dyDescent="0.3">
      <c r="O645" s="7"/>
      <c r="P645" s="7"/>
    </row>
    <row r="646" spans="15:16" ht="15.75" customHeight="1" x14ac:dyDescent="0.3">
      <c r="O646" s="7"/>
      <c r="P646" s="7"/>
    </row>
    <row r="647" spans="15:16" ht="15.75" customHeight="1" x14ac:dyDescent="0.3">
      <c r="O647" s="7"/>
      <c r="P647" s="7"/>
    </row>
    <row r="648" spans="15:16" ht="15.75" customHeight="1" x14ac:dyDescent="0.3">
      <c r="O648" s="7"/>
      <c r="P648" s="7"/>
    </row>
    <row r="649" spans="15:16" ht="15.75" customHeight="1" x14ac:dyDescent="0.3">
      <c r="O649" s="7"/>
      <c r="P649" s="7"/>
    </row>
    <row r="650" spans="15:16" ht="15.75" customHeight="1" x14ac:dyDescent="0.3">
      <c r="O650" s="7"/>
      <c r="P650" s="7"/>
    </row>
    <row r="651" spans="15:16" ht="15.75" customHeight="1" x14ac:dyDescent="0.3">
      <c r="O651" s="7"/>
      <c r="P651" s="7"/>
    </row>
    <row r="652" spans="15:16" ht="15.75" customHeight="1" x14ac:dyDescent="0.3">
      <c r="O652" s="7"/>
      <c r="P652" s="7"/>
    </row>
    <row r="653" spans="15:16" ht="15.75" customHeight="1" x14ac:dyDescent="0.3">
      <c r="O653" s="7"/>
      <c r="P653" s="7"/>
    </row>
    <row r="654" spans="15:16" ht="15.75" customHeight="1" x14ac:dyDescent="0.3">
      <c r="O654" s="7"/>
      <c r="P654" s="7"/>
    </row>
    <row r="655" spans="15:16" ht="15.75" customHeight="1" x14ac:dyDescent="0.3">
      <c r="O655" s="7"/>
      <c r="P655" s="7"/>
    </row>
    <row r="656" spans="15:16" ht="15.75" customHeight="1" x14ac:dyDescent="0.3">
      <c r="O656" s="7"/>
      <c r="P656" s="7"/>
    </row>
    <row r="657" spans="15:16" ht="15.75" customHeight="1" x14ac:dyDescent="0.3">
      <c r="O657" s="7"/>
      <c r="P657" s="7"/>
    </row>
    <row r="658" spans="15:16" ht="15.75" customHeight="1" x14ac:dyDescent="0.3">
      <c r="O658" s="7"/>
      <c r="P658" s="7"/>
    </row>
    <row r="659" spans="15:16" ht="15.75" customHeight="1" x14ac:dyDescent="0.3">
      <c r="O659" s="7"/>
      <c r="P659" s="7"/>
    </row>
    <row r="660" spans="15:16" ht="15.75" customHeight="1" x14ac:dyDescent="0.3">
      <c r="O660" s="7"/>
      <c r="P660" s="7"/>
    </row>
    <row r="661" spans="15:16" ht="15.75" customHeight="1" x14ac:dyDescent="0.3">
      <c r="O661" s="7"/>
      <c r="P661" s="7"/>
    </row>
    <row r="662" spans="15:16" ht="15.75" customHeight="1" x14ac:dyDescent="0.3">
      <c r="O662" s="7"/>
      <c r="P662" s="7"/>
    </row>
    <row r="663" spans="15:16" ht="15.75" customHeight="1" x14ac:dyDescent="0.3">
      <c r="O663" s="7"/>
      <c r="P663" s="7"/>
    </row>
    <row r="664" spans="15:16" ht="15.75" customHeight="1" x14ac:dyDescent="0.3">
      <c r="O664" s="7"/>
      <c r="P664" s="7"/>
    </row>
    <row r="665" spans="15:16" ht="15.75" customHeight="1" x14ac:dyDescent="0.3">
      <c r="O665" s="7"/>
      <c r="P665" s="7"/>
    </row>
    <row r="666" spans="15:16" ht="15.75" customHeight="1" x14ac:dyDescent="0.3">
      <c r="O666" s="7"/>
      <c r="P666" s="7"/>
    </row>
    <row r="667" spans="15:16" ht="15.75" customHeight="1" x14ac:dyDescent="0.3">
      <c r="O667" s="7"/>
      <c r="P667" s="7"/>
    </row>
    <row r="668" spans="15:16" ht="15.75" customHeight="1" x14ac:dyDescent="0.3">
      <c r="O668" s="7"/>
      <c r="P668" s="7"/>
    </row>
    <row r="669" spans="15:16" ht="15.75" customHeight="1" x14ac:dyDescent="0.3">
      <c r="O669" s="7"/>
      <c r="P669" s="7"/>
    </row>
    <row r="670" spans="15:16" ht="15.75" customHeight="1" x14ac:dyDescent="0.3">
      <c r="O670" s="7"/>
      <c r="P670" s="7"/>
    </row>
    <row r="671" spans="15:16" ht="15.75" customHeight="1" x14ac:dyDescent="0.3">
      <c r="O671" s="7"/>
      <c r="P671" s="7"/>
    </row>
    <row r="672" spans="15:16" ht="15.75" customHeight="1" x14ac:dyDescent="0.3">
      <c r="O672" s="7"/>
      <c r="P672" s="7"/>
    </row>
    <row r="673" spans="15:16" ht="15.75" customHeight="1" x14ac:dyDescent="0.3">
      <c r="O673" s="7"/>
      <c r="P673" s="7"/>
    </row>
    <row r="674" spans="15:16" ht="15.75" customHeight="1" x14ac:dyDescent="0.3">
      <c r="O674" s="7"/>
      <c r="P674" s="7"/>
    </row>
    <row r="675" spans="15:16" ht="15.75" customHeight="1" x14ac:dyDescent="0.3">
      <c r="O675" s="7"/>
      <c r="P675" s="7"/>
    </row>
    <row r="676" spans="15:16" ht="15.75" customHeight="1" x14ac:dyDescent="0.3">
      <c r="O676" s="7"/>
      <c r="P676" s="7"/>
    </row>
    <row r="677" spans="15:16" ht="15.75" customHeight="1" x14ac:dyDescent="0.3">
      <c r="O677" s="7"/>
      <c r="P677" s="7"/>
    </row>
    <row r="678" spans="15:16" ht="15.75" customHeight="1" x14ac:dyDescent="0.3">
      <c r="O678" s="7"/>
      <c r="P678" s="7"/>
    </row>
    <row r="679" spans="15:16" ht="15.75" customHeight="1" x14ac:dyDescent="0.3">
      <c r="O679" s="7"/>
      <c r="P679" s="7"/>
    </row>
    <row r="680" spans="15:16" ht="15.75" customHeight="1" x14ac:dyDescent="0.3">
      <c r="O680" s="7"/>
      <c r="P680" s="7"/>
    </row>
    <row r="681" spans="15:16" ht="15.75" customHeight="1" x14ac:dyDescent="0.3">
      <c r="O681" s="7"/>
      <c r="P681" s="7"/>
    </row>
    <row r="682" spans="15:16" ht="15.75" customHeight="1" x14ac:dyDescent="0.3">
      <c r="O682" s="7"/>
      <c r="P682" s="7"/>
    </row>
    <row r="683" spans="15:16" ht="15.75" customHeight="1" x14ac:dyDescent="0.3">
      <c r="O683" s="7"/>
      <c r="P683" s="7"/>
    </row>
    <row r="684" spans="15:16" ht="15.75" customHeight="1" x14ac:dyDescent="0.3">
      <c r="O684" s="7"/>
      <c r="P684" s="7"/>
    </row>
    <row r="685" spans="15:16" ht="15.75" customHeight="1" x14ac:dyDescent="0.3">
      <c r="O685" s="7"/>
      <c r="P685" s="7"/>
    </row>
    <row r="686" spans="15:16" ht="15.75" customHeight="1" x14ac:dyDescent="0.3">
      <c r="O686" s="7"/>
      <c r="P686" s="7"/>
    </row>
    <row r="687" spans="15:16" ht="15.75" customHeight="1" x14ac:dyDescent="0.3">
      <c r="O687" s="7"/>
      <c r="P687" s="7"/>
    </row>
    <row r="688" spans="15:16" ht="15.75" customHeight="1" x14ac:dyDescent="0.3">
      <c r="O688" s="7"/>
      <c r="P688" s="7"/>
    </row>
    <row r="689" spans="15:16" ht="15.75" customHeight="1" x14ac:dyDescent="0.3">
      <c r="O689" s="7"/>
      <c r="P689" s="7"/>
    </row>
    <row r="690" spans="15:16" ht="15.75" customHeight="1" x14ac:dyDescent="0.3">
      <c r="O690" s="7"/>
      <c r="P690" s="7"/>
    </row>
    <row r="691" spans="15:16" ht="15.75" customHeight="1" x14ac:dyDescent="0.3">
      <c r="O691" s="7"/>
      <c r="P691" s="7"/>
    </row>
    <row r="692" spans="15:16" ht="15.75" customHeight="1" x14ac:dyDescent="0.3">
      <c r="O692" s="7"/>
      <c r="P692" s="7"/>
    </row>
    <row r="693" spans="15:16" ht="15.75" customHeight="1" x14ac:dyDescent="0.3">
      <c r="O693" s="7"/>
      <c r="P693" s="7"/>
    </row>
    <row r="694" spans="15:16" ht="15.75" customHeight="1" x14ac:dyDescent="0.3">
      <c r="O694" s="7"/>
      <c r="P694" s="7"/>
    </row>
    <row r="695" spans="15:16" ht="15.75" customHeight="1" x14ac:dyDescent="0.3">
      <c r="O695" s="7"/>
      <c r="P695" s="7"/>
    </row>
    <row r="696" spans="15:16" ht="15.75" customHeight="1" x14ac:dyDescent="0.3">
      <c r="O696" s="7"/>
      <c r="P696" s="7"/>
    </row>
    <row r="697" spans="15:16" ht="15.75" customHeight="1" x14ac:dyDescent="0.3">
      <c r="O697" s="7"/>
      <c r="P697" s="7"/>
    </row>
    <row r="698" spans="15:16" ht="15.75" customHeight="1" x14ac:dyDescent="0.3">
      <c r="O698" s="7"/>
      <c r="P698" s="7"/>
    </row>
    <row r="699" spans="15:16" ht="15.75" customHeight="1" x14ac:dyDescent="0.3">
      <c r="O699" s="7"/>
      <c r="P699" s="7"/>
    </row>
    <row r="700" spans="15:16" ht="15.75" customHeight="1" x14ac:dyDescent="0.3">
      <c r="O700" s="7"/>
      <c r="P700" s="7"/>
    </row>
    <row r="701" spans="15:16" ht="15.75" customHeight="1" x14ac:dyDescent="0.3">
      <c r="O701" s="7"/>
      <c r="P701" s="7"/>
    </row>
    <row r="702" spans="15:16" ht="15.75" customHeight="1" x14ac:dyDescent="0.3">
      <c r="O702" s="7"/>
      <c r="P702" s="7"/>
    </row>
    <row r="703" spans="15:16" ht="15.75" customHeight="1" x14ac:dyDescent="0.3">
      <c r="O703" s="7"/>
      <c r="P703" s="7"/>
    </row>
    <row r="704" spans="15:16" ht="15.75" customHeight="1" x14ac:dyDescent="0.3">
      <c r="O704" s="7"/>
      <c r="P704" s="7"/>
    </row>
    <row r="705" spans="15:16" ht="15.75" customHeight="1" x14ac:dyDescent="0.3">
      <c r="O705" s="7"/>
      <c r="P705" s="7"/>
    </row>
    <row r="706" spans="15:16" ht="15.75" customHeight="1" x14ac:dyDescent="0.3">
      <c r="O706" s="7"/>
      <c r="P706" s="7"/>
    </row>
    <row r="707" spans="15:16" ht="15.75" customHeight="1" x14ac:dyDescent="0.3">
      <c r="O707" s="7"/>
      <c r="P707" s="7"/>
    </row>
    <row r="708" spans="15:16" ht="15.75" customHeight="1" x14ac:dyDescent="0.3">
      <c r="O708" s="7"/>
      <c r="P708" s="7"/>
    </row>
    <row r="709" spans="15:16" ht="15.75" customHeight="1" x14ac:dyDescent="0.3">
      <c r="O709" s="7"/>
      <c r="P709" s="7"/>
    </row>
    <row r="710" spans="15:16" ht="15.75" customHeight="1" x14ac:dyDescent="0.3">
      <c r="O710" s="7"/>
      <c r="P710" s="7"/>
    </row>
    <row r="711" spans="15:16" ht="15.75" customHeight="1" x14ac:dyDescent="0.3">
      <c r="O711" s="7"/>
      <c r="P711" s="7"/>
    </row>
    <row r="712" spans="15:16" ht="15.75" customHeight="1" x14ac:dyDescent="0.3">
      <c r="O712" s="7"/>
      <c r="P712" s="7"/>
    </row>
    <row r="713" spans="15:16" ht="15.75" customHeight="1" x14ac:dyDescent="0.3">
      <c r="O713" s="7"/>
      <c r="P713" s="7"/>
    </row>
    <row r="714" spans="15:16" ht="15.75" customHeight="1" x14ac:dyDescent="0.3">
      <c r="O714" s="7"/>
      <c r="P714" s="7"/>
    </row>
    <row r="715" spans="15:16" ht="15.75" customHeight="1" x14ac:dyDescent="0.3">
      <c r="O715" s="7"/>
      <c r="P715" s="7"/>
    </row>
    <row r="716" spans="15:16" ht="15.75" customHeight="1" x14ac:dyDescent="0.3">
      <c r="O716" s="7"/>
      <c r="P716" s="7"/>
    </row>
    <row r="717" spans="15:16" ht="15.75" customHeight="1" x14ac:dyDescent="0.3">
      <c r="O717" s="7"/>
      <c r="P717" s="7"/>
    </row>
    <row r="718" spans="15:16" ht="15.75" customHeight="1" x14ac:dyDescent="0.3">
      <c r="O718" s="7"/>
      <c r="P718" s="7"/>
    </row>
    <row r="719" spans="15:16" ht="15.75" customHeight="1" x14ac:dyDescent="0.3">
      <c r="O719" s="7"/>
      <c r="P719" s="7"/>
    </row>
    <row r="720" spans="15:16" ht="15.75" customHeight="1" x14ac:dyDescent="0.3">
      <c r="O720" s="7"/>
      <c r="P720" s="7"/>
    </row>
    <row r="721" spans="15:16" ht="15.75" customHeight="1" x14ac:dyDescent="0.3">
      <c r="O721" s="7"/>
      <c r="P721" s="7"/>
    </row>
    <row r="722" spans="15:16" ht="15.75" customHeight="1" x14ac:dyDescent="0.3">
      <c r="O722" s="7"/>
      <c r="P722" s="7"/>
    </row>
    <row r="723" spans="15:16" ht="15.75" customHeight="1" x14ac:dyDescent="0.3">
      <c r="O723" s="7"/>
      <c r="P723" s="7"/>
    </row>
    <row r="724" spans="15:16" ht="15.75" customHeight="1" x14ac:dyDescent="0.3">
      <c r="O724" s="7"/>
      <c r="P724" s="7"/>
    </row>
    <row r="725" spans="15:16" ht="15.75" customHeight="1" x14ac:dyDescent="0.3">
      <c r="O725" s="7"/>
      <c r="P725" s="7"/>
    </row>
    <row r="726" spans="15:16" ht="15.75" customHeight="1" x14ac:dyDescent="0.3">
      <c r="O726" s="7"/>
      <c r="P726" s="7"/>
    </row>
    <row r="727" spans="15:16" ht="15.75" customHeight="1" x14ac:dyDescent="0.3">
      <c r="O727" s="7"/>
      <c r="P727" s="7"/>
    </row>
    <row r="728" spans="15:16" ht="15.75" customHeight="1" x14ac:dyDescent="0.3">
      <c r="O728" s="7"/>
      <c r="P728" s="7"/>
    </row>
    <row r="729" spans="15:16" ht="15.75" customHeight="1" x14ac:dyDescent="0.3">
      <c r="O729" s="7"/>
      <c r="P729" s="7"/>
    </row>
    <row r="730" spans="15:16" ht="15.75" customHeight="1" x14ac:dyDescent="0.3">
      <c r="O730" s="7"/>
      <c r="P730" s="7"/>
    </row>
    <row r="731" spans="15:16" ht="15.75" customHeight="1" x14ac:dyDescent="0.3">
      <c r="O731" s="7"/>
      <c r="P731" s="7"/>
    </row>
    <row r="732" spans="15:16" ht="15.75" customHeight="1" x14ac:dyDescent="0.3">
      <c r="O732" s="7"/>
      <c r="P732" s="7"/>
    </row>
    <row r="733" spans="15:16" ht="15.75" customHeight="1" x14ac:dyDescent="0.3">
      <c r="O733" s="7"/>
      <c r="P733" s="7"/>
    </row>
    <row r="734" spans="15:16" ht="15.75" customHeight="1" x14ac:dyDescent="0.3">
      <c r="O734" s="7"/>
      <c r="P734" s="7"/>
    </row>
    <row r="735" spans="15:16" ht="15.75" customHeight="1" x14ac:dyDescent="0.3">
      <c r="O735" s="7"/>
      <c r="P735" s="7"/>
    </row>
    <row r="736" spans="15:16" ht="15.75" customHeight="1" x14ac:dyDescent="0.3">
      <c r="O736" s="7"/>
      <c r="P736" s="7"/>
    </row>
    <row r="737" spans="15:16" ht="15.75" customHeight="1" x14ac:dyDescent="0.3">
      <c r="O737" s="7"/>
      <c r="P737" s="7"/>
    </row>
    <row r="738" spans="15:16" ht="15.75" customHeight="1" x14ac:dyDescent="0.3">
      <c r="O738" s="7"/>
      <c r="P738" s="7"/>
    </row>
    <row r="739" spans="15:16" ht="15.75" customHeight="1" x14ac:dyDescent="0.3">
      <c r="O739" s="7"/>
      <c r="P739" s="7"/>
    </row>
    <row r="740" spans="15:16" ht="15.75" customHeight="1" x14ac:dyDescent="0.3">
      <c r="O740" s="7"/>
      <c r="P740" s="7"/>
    </row>
    <row r="741" spans="15:16" ht="15.75" customHeight="1" x14ac:dyDescent="0.3">
      <c r="O741" s="7"/>
      <c r="P741" s="7"/>
    </row>
    <row r="742" spans="15:16" ht="15.75" customHeight="1" x14ac:dyDescent="0.3">
      <c r="O742" s="7"/>
      <c r="P742" s="7"/>
    </row>
    <row r="743" spans="15:16" ht="15.75" customHeight="1" x14ac:dyDescent="0.3">
      <c r="O743" s="7"/>
      <c r="P743" s="7"/>
    </row>
    <row r="744" spans="15:16" ht="15.75" customHeight="1" x14ac:dyDescent="0.3">
      <c r="O744" s="7"/>
      <c r="P744" s="7"/>
    </row>
    <row r="745" spans="15:16" ht="15.75" customHeight="1" x14ac:dyDescent="0.3">
      <c r="O745" s="7"/>
      <c r="P745" s="7"/>
    </row>
    <row r="746" spans="15:16" ht="15.75" customHeight="1" x14ac:dyDescent="0.3">
      <c r="O746" s="7"/>
      <c r="P746" s="7"/>
    </row>
    <row r="747" spans="15:16" ht="15.75" customHeight="1" x14ac:dyDescent="0.3">
      <c r="O747" s="7"/>
      <c r="P747" s="7"/>
    </row>
    <row r="748" spans="15:16" ht="15.75" customHeight="1" x14ac:dyDescent="0.3">
      <c r="O748" s="7"/>
      <c r="P748" s="7"/>
    </row>
    <row r="749" spans="15:16" ht="15.75" customHeight="1" x14ac:dyDescent="0.3">
      <c r="O749" s="7"/>
      <c r="P749" s="7"/>
    </row>
    <row r="750" spans="15:16" ht="15.75" customHeight="1" x14ac:dyDescent="0.3">
      <c r="O750" s="7"/>
      <c r="P750" s="7"/>
    </row>
    <row r="751" spans="15:16" ht="15.75" customHeight="1" x14ac:dyDescent="0.3">
      <c r="O751" s="7"/>
      <c r="P751" s="7"/>
    </row>
    <row r="752" spans="15:16" ht="15.75" customHeight="1" x14ac:dyDescent="0.3">
      <c r="O752" s="7"/>
      <c r="P752" s="7"/>
    </row>
    <row r="753" spans="15:16" ht="15.75" customHeight="1" x14ac:dyDescent="0.3">
      <c r="O753" s="7"/>
      <c r="P753" s="7"/>
    </row>
    <row r="754" spans="15:16" ht="15.75" customHeight="1" x14ac:dyDescent="0.3">
      <c r="O754" s="7"/>
      <c r="P754" s="7"/>
    </row>
    <row r="755" spans="15:16" ht="15.75" customHeight="1" x14ac:dyDescent="0.3">
      <c r="O755" s="7"/>
      <c r="P755" s="7"/>
    </row>
    <row r="756" spans="15:16" ht="15.75" customHeight="1" x14ac:dyDescent="0.3">
      <c r="O756" s="7"/>
      <c r="P756" s="7"/>
    </row>
    <row r="757" spans="15:16" ht="15.75" customHeight="1" x14ac:dyDescent="0.3">
      <c r="O757" s="7"/>
      <c r="P757" s="7"/>
    </row>
    <row r="758" spans="15:16" ht="15.75" customHeight="1" x14ac:dyDescent="0.3">
      <c r="O758" s="7"/>
      <c r="P758" s="7"/>
    </row>
    <row r="759" spans="15:16" ht="15.75" customHeight="1" x14ac:dyDescent="0.3">
      <c r="O759" s="7"/>
      <c r="P759" s="7"/>
    </row>
    <row r="760" spans="15:16" ht="15.75" customHeight="1" x14ac:dyDescent="0.3">
      <c r="O760" s="7"/>
      <c r="P760" s="7"/>
    </row>
    <row r="761" spans="15:16" ht="15.75" customHeight="1" x14ac:dyDescent="0.3">
      <c r="O761" s="7"/>
      <c r="P761" s="7"/>
    </row>
    <row r="762" spans="15:16" ht="15.75" customHeight="1" x14ac:dyDescent="0.3">
      <c r="O762" s="7"/>
      <c r="P762" s="7"/>
    </row>
    <row r="763" spans="15:16" ht="15.75" customHeight="1" x14ac:dyDescent="0.3">
      <c r="O763" s="7"/>
      <c r="P763" s="7"/>
    </row>
    <row r="764" spans="15:16" ht="15.75" customHeight="1" x14ac:dyDescent="0.3">
      <c r="O764" s="7"/>
      <c r="P764" s="7"/>
    </row>
    <row r="765" spans="15:16" ht="15.75" customHeight="1" x14ac:dyDescent="0.3">
      <c r="O765" s="7"/>
      <c r="P765" s="7"/>
    </row>
    <row r="766" spans="15:16" ht="15.75" customHeight="1" x14ac:dyDescent="0.3">
      <c r="O766" s="7"/>
      <c r="P766" s="7"/>
    </row>
    <row r="767" spans="15:16" ht="15.75" customHeight="1" x14ac:dyDescent="0.3">
      <c r="O767" s="7"/>
      <c r="P767" s="7"/>
    </row>
    <row r="768" spans="15:16" ht="15.75" customHeight="1" x14ac:dyDescent="0.3">
      <c r="O768" s="7"/>
      <c r="P768" s="7"/>
    </row>
    <row r="769" spans="15:16" ht="15.75" customHeight="1" x14ac:dyDescent="0.3">
      <c r="O769" s="7"/>
      <c r="P769" s="7"/>
    </row>
    <row r="770" spans="15:16" ht="15.75" customHeight="1" x14ac:dyDescent="0.3">
      <c r="O770" s="7"/>
      <c r="P770" s="7"/>
    </row>
    <row r="771" spans="15:16" ht="15.75" customHeight="1" x14ac:dyDescent="0.3">
      <c r="O771" s="7"/>
      <c r="P771" s="7"/>
    </row>
    <row r="772" spans="15:16" ht="15.75" customHeight="1" x14ac:dyDescent="0.3">
      <c r="O772" s="7"/>
      <c r="P772" s="7"/>
    </row>
    <row r="773" spans="15:16" ht="15.75" customHeight="1" x14ac:dyDescent="0.3">
      <c r="O773" s="7"/>
      <c r="P773" s="7"/>
    </row>
    <row r="774" spans="15:16" ht="15.75" customHeight="1" x14ac:dyDescent="0.3">
      <c r="O774" s="7"/>
      <c r="P774" s="7"/>
    </row>
    <row r="775" spans="15:16" ht="15.75" customHeight="1" x14ac:dyDescent="0.3">
      <c r="O775" s="7"/>
      <c r="P775" s="7"/>
    </row>
    <row r="776" spans="15:16" ht="15.75" customHeight="1" x14ac:dyDescent="0.3">
      <c r="O776" s="7"/>
      <c r="P776" s="7"/>
    </row>
    <row r="777" spans="15:16" ht="15.75" customHeight="1" x14ac:dyDescent="0.3">
      <c r="O777" s="7"/>
      <c r="P777" s="7"/>
    </row>
    <row r="778" spans="15:16" ht="15.75" customHeight="1" x14ac:dyDescent="0.3">
      <c r="O778" s="7"/>
      <c r="P778" s="7"/>
    </row>
    <row r="779" spans="15:16" ht="15.75" customHeight="1" x14ac:dyDescent="0.3">
      <c r="O779" s="7"/>
      <c r="P779" s="7"/>
    </row>
    <row r="780" spans="15:16" ht="15.75" customHeight="1" x14ac:dyDescent="0.3">
      <c r="O780" s="7"/>
      <c r="P780" s="7"/>
    </row>
    <row r="781" spans="15:16" ht="15.75" customHeight="1" x14ac:dyDescent="0.3">
      <c r="O781" s="7"/>
      <c r="P781" s="7"/>
    </row>
    <row r="782" spans="15:16" ht="15.75" customHeight="1" x14ac:dyDescent="0.3">
      <c r="O782" s="7"/>
      <c r="P782" s="7"/>
    </row>
    <row r="783" spans="15:16" ht="15.75" customHeight="1" x14ac:dyDescent="0.3">
      <c r="O783" s="7"/>
      <c r="P783" s="7"/>
    </row>
    <row r="784" spans="15:16" ht="15.75" customHeight="1" x14ac:dyDescent="0.3">
      <c r="O784" s="7"/>
      <c r="P784" s="7"/>
    </row>
    <row r="785" spans="15:16" ht="15.75" customHeight="1" x14ac:dyDescent="0.3">
      <c r="O785" s="7"/>
      <c r="P785" s="7"/>
    </row>
    <row r="786" spans="15:16" ht="15.75" customHeight="1" x14ac:dyDescent="0.3">
      <c r="O786" s="7"/>
      <c r="P786" s="7"/>
    </row>
    <row r="787" spans="15:16" ht="15.75" customHeight="1" x14ac:dyDescent="0.3">
      <c r="O787" s="7"/>
      <c r="P787" s="7"/>
    </row>
    <row r="788" spans="15:16" ht="15.75" customHeight="1" x14ac:dyDescent="0.3">
      <c r="O788" s="7"/>
      <c r="P788" s="7"/>
    </row>
    <row r="789" spans="15:16" ht="15.75" customHeight="1" x14ac:dyDescent="0.3">
      <c r="O789" s="7"/>
      <c r="P789" s="7"/>
    </row>
    <row r="790" spans="15:16" ht="15.75" customHeight="1" x14ac:dyDescent="0.3">
      <c r="O790" s="7"/>
      <c r="P790" s="7"/>
    </row>
    <row r="791" spans="15:16" ht="15.75" customHeight="1" x14ac:dyDescent="0.3">
      <c r="O791" s="7"/>
      <c r="P791" s="7"/>
    </row>
    <row r="792" spans="15:16" ht="15.75" customHeight="1" x14ac:dyDescent="0.3">
      <c r="O792" s="7"/>
      <c r="P792" s="7"/>
    </row>
    <row r="793" spans="15:16" ht="15.75" customHeight="1" x14ac:dyDescent="0.3">
      <c r="O793" s="7"/>
      <c r="P793" s="7"/>
    </row>
    <row r="794" spans="15:16" ht="15.75" customHeight="1" x14ac:dyDescent="0.3">
      <c r="O794" s="7"/>
      <c r="P794" s="7"/>
    </row>
    <row r="795" spans="15:16" ht="15.75" customHeight="1" x14ac:dyDescent="0.3">
      <c r="O795" s="7"/>
      <c r="P795" s="7"/>
    </row>
    <row r="796" spans="15:16" ht="15.75" customHeight="1" x14ac:dyDescent="0.3">
      <c r="O796" s="7"/>
      <c r="P796" s="7"/>
    </row>
    <row r="797" spans="15:16" ht="15.75" customHeight="1" x14ac:dyDescent="0.3">
      <c r="O797" s="7"/>
      <c r="P797" s="7"/>
    </row>
    <row r="798" spans="15:16" ht="15.75" customHeight="1" x14ac:dyDescent="0.3">
      <c r="O798" s="7"/>
      <c r="P798" s="7"/>
    </row>
    <row r="799" spans="15:16" ht="15.75" customHeight="1" x14ac:dyDescent="0.3">
      <c r="O799" s="7"/>
      <c r="P799" s="7"/>
    </row>
    <row r="800" spans="15:16" ht="15.75" customHeight="1" x14ac:dyDescent="0.3">
      <c r="O800" s="7"/>
      <c r="P800" s="7"/>
    </row>
    <row r="801" spans="15:16" ht="15.75" customHeight="1" x14ac:dyDescent="0.3">
      <c r="O801" s="7"/>
      <c r="P801" s="7"/>
    </row>
    <row r="802" spans="15:16" ht="15.75" customHeight="1" x14ac:dyDescent="0.3">
      <c r="O802" s="7"/>
      <c r="P802" s="7"/>
    </row>
    <row r="803" spans="15:16" ht="15.75" customHeight="1" x14ac:dyDescent="0.3">
      <c r="O803" s="7"/>
      <c r="P803" s="7"/>
    </row>
    <row r="804" spans="15:16" ht="15.75" customHeight="1" x14ac:dyDescent="0.3">
      <c r="O804" s="7"/>
      <c r="P804" s="7"/>
    </row>
    <row r="805" spans="15:16" ht="15.75" customHeight="1" x14ac:dyDescent="0.3">
      <c r="O805" s="7"/>
      <c r="P805" s="7"/>
    </row>
    <row r="806" spans="15:16" ht="15.75" customHeight="1" x14ac:dyDescent="0.3">
      <c r="O806" s="7"/>
      <c r="P806" s="7"/>
    </row>
    <row r="807" spans="15:16" ht="15.75" customHeight="1" x14ac:dyDescent="0.3">
      <c r="O807" s="7"/>
      <c r="P807" s="7"/>
    </row>
    <row r="808" spans="15:16" ht="15.75" customHeight="1" x14ac:dyDescent="0.3">
      <c r="O808" s="7"/>
      <c r="P808" s="7"/>
    </row>
    <row r="809" spans="15:16" ht="15.75" customHeight="1" x14ac:dyDescent="0.3">
      <c r="O809" s="7"/>
      <c r="P809" s="7"/>
    </row>
    <row r="810" spans="15:16" ht="15.75" customHeight="1" x14ac:dyDescent="0.3">
      <c r="O810" s="7"/>
      <c r="P810" s="7"/>
    </row>
    <row r="811" spans="15:16" ht="15.75" customHeight="1" x14ac:dyDescent="0.3">
      <c r="O811" s="7"/>
      <c r="P811" s="7"/>
    </row>
    <row r="812" spans="15:16" ht="15.75" customHeight="1" x14ac:dyDescent="0.3">
      <c r="O812" s="7"/>
      <c r="P812" s="7"/>
    </row>
    <row r="813" spans="15:16" ht="15.75" customHeight="1" x14ac:dyDescent="0.3">
      <c r="O813" s="7"/>
      <c r="P813" s="7"/>
    </row>
    <row r="814" spans="15:16" ht="15.75" customHeight="1" x14ac:dyDescent="0.3">
      <c r="O814" s="7"/>
      <c r="P814" s="7"/>
    </row>
    <row r="815" spans="15:16" ht="15.75" customHeight="1" x14ac:dyDescent="0.3">
      <c r="O815" s="7"/>
      <c r="P815" s="7"/>
    </row>
    <row r="816" spans="15:16" ht="15.75" customHeight="1" x14ac:dyDescent="0.3">
      <c r="O816" s="7"/>
      <c r="P816" s="7"/>
    </row>
    <row r="817" spans="15:16" ht="15.75" customHeight="1" x14ac:dyDescent="0.3">
      <c r="O817" s="7"/>
      <c r="P817" s="7"/>
    </row>
    <row r="818" spans="15:16" ht="15.75" customHeight="1" x14ac:dyDescent="0.3">
      <c r="O818" s="7"/>
      <c r="P818" s="7"/>
    </row>
    <row r="819" spans="15:16" ht="15.75" customHeight="1" x14ac:dyDescent="0.3">
      <c r="O819" s="7"/>
      <c r="P819" s="7"/>
    </row>
    <row r="820" spans="15:16" ht="15.75" customHeight="1" x14ac:dyDescent="0.3">
      <c r="O820" s="7"/>
      <c r="P820" s="7"/>
    </row>
    <row r="821" spans="15:16" ht="15.75" customHeight="1" x14ac:dyDescent="0.3">
      <c r="O821" s="7"/>
      <c r="P821" s="7"/>
    </row>
    <row r="822" spans="15:16" ht="15.75" customHeight="1" x14ac:dyDescent="0.3">
      <c r="O822" s="7"/>
      <c r="P822" s="7"/>
    </row>
    <row r="823" spans="15:16" ht="15.75" customHeight="1" x14ac:dyDescent="0.3">
      <c r="O823" s="7"/>
      <c r="P823" s="7"/>
    </row>
    <row r="824" spans="15:16" ht="15.75" customHeight="1" x14ac:dyDescent="0.3">
      <c r="O824" s="7"/>
      <c r="P824" s="7"/>
    </row>
    <row r="825" spans="15:16" ht="15.75" customHeight="1" x14ac:dyDescent="0.3">
      <c r="O825" s="7"/>
      <c r="P825" s="7"/>
    </row>
    <row r="826" spans="15:16" ht="15.75" customHeight="1" x14ac:dyDescent="0.3">
      <c r="O826" s="7"/>
      <c r="P826" s="7"/>
    </row>
    <row r="827" spans="15:16" ht="15.75" customHeight="1" x14ac:dyDescent="0.3">
      <c r="O827" s="7"/>
      <c r="P827" s="7"/>
    </row>
    <row r="828" spans="15:16" ht="15.75" customHeight="1" x14ac:dyDescent="0.3">
      <c r="O828" s="7"/>
      <c r="P828" s="7"/>
    </row>
    <row r="829" spans="15:16" ht="15.75" customHeight="1" x14ac:dyDescent="0.3">
      <c r="O829" s="7"/>
      <c r="P829" s="7"/>
    </row>
    <row r="830" spans="15:16" ht="15.75" customHeight="1" x14ac:dyDescent="0.3">
      <c r="O830" s="7"/>
      <c r="P830" s="7"/>
    </row>
    <row r="831" spans="15:16" ht="15.75" customHeight="1" x14ac:dyDescent="0.3">
      <c r="O831" s="7"/>
      <c r="P831" s="7"/>
    </row>
    <row r="832" spans="15:16" ht="15.75" customHeight="1" x14ac:dyDescent="0.3">
      <c r="O832" s="7"/>
      <c r="P832" s="7"/>
    </row>
    <row r="833" spans="15:16" ht="15.75" customHeight="1" x14ac:dyDescent="0.3">
      <c r="O833" s="7"/>
      <c r="P833" s="7"/>
    </row>
    <row r="834" spans="15:16" ht="15.75" customHeight="1" x14ac:dyDescent="0.3">
      <c r="O834" s="7"/>
      <c r="P834" s="7"/>
    </row>
    <row r="835" spans="15:16" ht="15.75" customHeight="1" x14ac:dyDescent="0.3">
      <c r="O835" s="7"/>
      <c r="P835" s="7"/>
    </row>
    <row r="836" spans="15:16" ht="15.75" customHeight="1" x14ac:dyDescent="0.3">
      <c r="O836" s="7"/>
      <c r="P836" s="7"/>
    </row>
    <row r="837" spans="15:16" ht="15.75" customHeight="1" x14ac:dyDescent="0.3">
      <c r="O837" s="7"/>
      <c r="P837" s="7"/>
    </row>
    <row r="838" spans="15:16" ht="15.75" customHeight="1" x14ac:dyDescent="0.3">
      <c r="O838" s="7"/>
      <c r="P838" s="7"/>
    </row>
    <row r="839" spans="15:16" ht="15.75" customHeight="1" x14ac:dyDescent="0.3">
      <c r="O839" s="7"/>
      <c r="P839" s="7"/>
    </row>
    <row r="840" spans="15:16" ht="15.75" customHeight="1" x14ac:dyDescent="0.3">
      <c r="O840" s="7"/>
      <c r="P840" s="7"/>
    </row>
    <row r="841" spans="15:16" ht="15.75" customHeight="1" x14ac:dyDescent="0.3">
      <c r="O841" s="7"/>
      <c r="P841" s="7"/>
    </row>
    <row r="842" spans="15:16" ht="15.75" customHeight="1" x14ac:dyDescent="0.3">
      <c r="O842" s="7"/>
      <c r="P842" s="7"/>
    </row>
    <row r="843" spans="15:16" ht="15.75" customHeight="1" x14ac:dyDescent="0.3">
      <c r="O843" s="7"/>
      <c r="P843" s="7"/>
    </row>
    <row r="844" spans="15:16" ht="15.75" customHeight="1" x14ac:dyDescent="0.3">
      <c r="O844" s="7"/>
      <c r="P844" s="7"/>
    </row>
    <row r="845" spans="15:16" ht="15.75" customHeight="1" x14ac:dyDescent="0.3">
      <c r="O845" s="7"/>
      <c r="P845" s="7"/>
    </row>
    <row r="846" spans="15:16" ht="15.75" customHeight="1" x14ac:dyDescent="0.3">
      <c r="O846" s="7"/>
      <c r="P846" s="7"/>
    </row>
    <row r="847" spans="15:16" ht="15.75" customHeight="1" x14ac:dyDescent="0.3">
      <c r="O847" s="7"/>
      <c r="P847" s="7"/>
    </row>
    <row r="848" spans="15:16" ht="15.75" customHeight="1" x14ac:dyDescent="0.3">
      <c r="O848" s="7"/>
      <c r="P848" s="7"/>
    </row>
    <row r="849" spans="15:16" ht="15.75" customHeight="1" x14ac:dyDescent="0.3">
      <c r="O849" s="7"/>
      <c r="P849" s="7"/>
    </row>
    <row r="850" spans="15:16" ht="15.75" customHeight="1" x14ac:dyDescent="0.3">
      <c r="O850" s="7"/>
      <c r="P850" s="7"/>
    </row>
    <row r="851" spans="15:16" ht="15.75" customHeight="1" x14ac:dyDescent="0.3">
      <c r="O851" s="7"/>
      <c r="P851" s="7"/>
    </row>
    <row r="852" spans="15:16" ht="15.75" customHeight="1" x14ac:dyDescent="0.3">
      <c r="O852" s="7"/>
      <c r="P852" s="7"/>
    </row>
    <row r="853" spans="15:16" ht="15.75" customHeight="1" x14ac:dyDescent="0.3">
      <c r="O853" s="7"/>
      <c r="P853" s="7"/>
    </row>
    <row r="854" spans="15:16" ht="15.75" customHeight="1" x14ac:dyDescent="0.3">
      <c r="O854" s="7"/>
      <c r="P854" s="7"/>
    </row>
    <row r="855" spans="15:16" ht="15.75" customHeight="1" x14ac:dyDescent="0.3">
      <c r="O855" s="7"/>
      <c r="P855" s="7"/>
    </row>
    <row r="856" spans="15:16" ht="15.75" customHeight="1" x14ac:dyDescent="0.3">
      <c r="O856" s="7"/>
      <c r="P856" s="7"/>
    </row>
    <row r="857" spans="15:16" ht="15.75" customHeight="1" x14ac:dyDescent="0.3">
      <c r="O857" s="7"/>
      <c r="P857" s="7"/>
    </row>
    <row r="858" spans="15:16" ht="15.75" customHeight="1" x14ac:dyDescent="0.3">
      <c r="O858" s="7"/>
      <c r="P858" s="7"/>
    </row>
    <row r="859" spans="15:16" ht="15.75" customHeight="1" x14ac:dyDescent="0.3">
      <c r="O859" s="7"/>
      <c r="P859" s="7"/>
    </row>
    <row r="860" spans="15:16" ht="15.75" customHeight="1" x14ac:dyDescent="0.3">
      <c r="O860" s="7"/>
      <c r="P860" s="7"/>
    </row>
    <row r="861" spans="15:16" ht="15.75" customHeight="1" x14ac:dyDescent="0.3">
      <c r="O861" s="7"/>
      <c r="P861" s="7"/>
    </row>
    <row r="862" spans="15:16" ht="15.75" customHeight="1" x14ac:dyDescent="0.3">
      <c r="O862" s="7"/>
      <c r="P862" s="7"/>
    </row>
    <row r="863" spans="15:16" ht="15.75" customHeight="1" x14ac:dyDescent="0.3">
      <c r="O863" s="7"/>
      <c r="P863" s="7"/>
    </row>
    <row r="864" spans="15:16" ht="15.75" customHeight="1" x14ac:dyDescent="0.3">
      <c r="O864" s="7"/>
      <c r="P864" s="7"/>
    </row>
    <row r="865" spans="15:16" ht="15.75" customHeight="1" x14ac:dyDescent="0.3">
      <c r="O865" s="7"/>
      <c r="P865" s="7"/>
    </row>
    <row r="866" spans="15:16" ht="15.75" customHeight="1" x14ac:dyDescent="0.3">
      <c r="O866" s="7"/>
      <c r="P866" s="7"/>
    </row>
    <row r="867" spans="15:16" ht="15.75" customHeight="1" x14ac:dyDescent="0.3">
      <c r="O867" s="7"/>
      <c r="P867" s="7"/>
    </row>
    <row r="868" spans="15:16" ht="15.75" customHeight="1" x14ac:dyDescent="0.3">
      <c r="O868" s="7"/>
      <c r="P868" s="7"/>
    </row>
    <row r="869" spans="15:16" ht="15.75" customHeight="1" x14ac:dyDescent="0.3">
      <c r="O869" s="7"/>
      <c r="P869" s="7"/>
    </row>
    <row r="870" spans="15:16" ht="15.75" customHeight="1" x14ac:dyDescent="0.3">
      <c r="O870" s="7"/>
      <c r="P870" s="7"/>
    </row>
    <row r="871" spans="15:16" ht="15.75" customHeight="1" x14ac:dyDescent="0.3">
      <c r="O871" s="7"/>
      <c r="P871" s="7"/>
    </row>
    <row r="872" spans="15:16" ht="15.75" customHeight="1" x14ac:dyDescent="0.3">
      <c r="O872" s="7"/>
      <c r="P872" s="7"/>
    </row>
    <row r="873" spans="15:16" ht="15.75" customHeight="1" x14ac:dyDescent="0.3">
      <c r="O873" s="7"/>
      <c r="P873" s="7"/>
    </row>
    <row r="874" spans="15:16" ht="15.75" customHeight="1" x14ac:dyDescent="0.3">
      <c r="O874" s="7"/>
      <c r="P874" s="7"/>
    </row>
    <row r="875" spans="15:16" ht="15.75" customHeight="1" x14ac:dyDescent="0.3">
      <c r="O875" s="7"/>
      <c r="P875" s="7"/>
    </row>
    <row r="876" spans="15:16" ht="15.75" customHeight="1" x14ac:dyDescent="0.3">
      <c r="O876" s="7"/>
      <c r="P876" s="7"/>
    </row>
    <row r="877" spans="15:16" ht="15.75" customHeight="1" x14ac:dyDescent="0.3">
      <c r="O877" s="7"/>
      <c r="P877" s="7"/>
    </row>
    <row r="878" spans="15:16" ht="15.75" customHeight="1" x14ac:dyDescent="0.3">
      <c r="O878" s="7"/>
      <c r="P878" s="7"/>
    </row>
    <row r="879" spans="15:16" ht="15.75" customHeight="1" x14ac:dyDescent="0.3">
      <c r="O879" s="7"/>
      <c r="P879" s="7"/>
    </row>
    <row r="880" spans="15:16" ht="15.75" customHeight="1" x14ac:dyDescent="0.3">
      <c r="O880" s="7"/>
      <c r="P880" s="7"/>
    </row>
    <row r="881" spans="15:16" ht="15.75" customHeight="1" x14ac:dyDescent="0.3">
      <c r="O881" s="7"/>
      <c r="P881" s="7"/>
    </row>
    <row r="882" spans="15:16" ht="15.75" customHeight="1" x14ac:dyDescent="0.3">
      <c r="O882" s="7"/>
      <c r="P882" s="7"/>
    </row>
    <row r="883" spans="15:16" ht="15.75" customHeight="1" x14ac:dyDescent="0.3">
      <c r="O883" s="7"/>
      <c r="P883" s="7"/>
    </row>
    <row r="884" spans="15:16" ht="15.75" customHeight="1" x14ac:dyDescent="0.3">
      <c r="O884" s="7"/>
      <c r="P884" s="7"/>
    </row>
    <row r="885" spans="15:16" ht="15.75" customHeight="1" x14ac:dyDescent="0.3">
      <c r="O885" s="7"/>
      <c r="P885" s="7"/>
    </row>
    <row r="886" spans="15:16" ht="15.75" customHeight="1" x14ac:dyDescent="0.3">
      <c r="O886" s="7"/>
      <c r="P886" s="7"/>
    </row>
    <row r="887" spans="15:16" ht="15.75" customHeight="1" x14ac:dyDescent="0.3">
      <c r="O887" s="7"/>
      <c r="P887" s="7"/>
    </row>
    <row r="888" spans="15:16" ht="15.75" customHeight="1" x14ac:dyDescent="0.3">
      <c r="O888" s="7"/>
      <c r="P888" s="7"/>
    </row>
    <row r="889" spans="15:16" ht="15.75" customHeight="1" x14ac:dyDescent="0.3">
      <c r="O889" s="7"/>
      <c r="P889" s="7"/>
    </row>
    <row r="890" spans="15:16" ht="15.75" customHeight="1" x14ac:dyDescent="0.3">
      <c r="O890" s="7"/>
      <c r="P890" s="7"/>
    </row>
    <row r="891" spans="15:16" ht="15.75" customHeight="1" x14ac:dyDescent="0.3">
      <c r="O891" s="7"/>
      <c r="P891" s="7"/>
    </row>
    <row r="892" spans="15:16" ht="15.75" customHeight="1" x14ac:dyDescent="0.3">
      <c r="O892" s="7"/>
      <c r="P892" s="7"/>
    </row>
    <row r="893" spans="15:16" ht="15.75" customHeight="1" x14ac:dyDescent="0.3">
      <c r="O893" s="7"/>
      <c r="P893" s="7"/>
    </row>
    <row r="894" spans="15:16" ht="15.75" customHeight="1" x14ac:dyDescent="0.3">
      <c r="O894" s="7"/>
      <c r="P894" s="7"/>
    </row>
    <row r="895" spans="15:16" ht="15.75" customHeight="1" x14ac:dyDescent="0.3">
      <c r="O895" s="7"/>
      <c r="P895" s="7"/>
    </row>
    <row r="896" spans="15:16" ht="15.75" customHeight="1" x14ac:dyDescent="0.3">
      <c r="O896" s="7"/>
      <c r="P896" s="7"/>
    </row>
    <row r="897" spans="15:16" ht="15.75" customHeight="1" x14ac:dyDescent="0.3">
      <c r="O897" s="7"/>
      <c r="P897" s="7"/>
    </row>
    <row r="898" spans="15:16" ht="15.75" customHeight="1" x14ac:dyDescent="0.3">
      <c r="O898" s="7"/>
      <c r="P898" s="7"/>
    </row>
    <row r="899" spans="15:16" ht="15.75" customHeight="1" x14ac:dyDescent="0.3">
      <c r="O899" s="7"/>
      <c r="P899" s="7"/>
    </row>
    <row r="900" spans="15:16" ht="15.75" customHeight="1" x14ac:dyDescent="0.3">
      <c r="O900" s="7"/>
      <c r="P900" s="7"/>
    </row>
    <row r="901" spans="15:16" ht="15.75" customHeight="1" x14ac:dyDescent="0.3">
      <c r="O901" s="7"/>
      <c r="P901" s="7"/>
    </row>
    <row r="902" spans="15:16" ht="15.75" customHeight="1" x14ac:dyDescent="0.3">
      <c r="O902" s="7"/>
      <c r="P902" s="7"/>
    </row>
    <row r="903" spans="15:16" ht="15.75" customHeight="1" x14ac:dyDescent="0.3">
      <c r="O903" s="7"/>
      <c r="P903" s="7"/>
    </row>
    <row r="904" spans="15:16" ht="15.75" customHeight="1" x14ac:dyDescent="0.3">
      <c r="O904" s="7"/>
      <c r="P904" s="7"/>
    </row>
    <row r="905" spans="15:16" ht="15.75" customHeight="1" x14ac:dyDescent="0.3">
      <c r="O905" s="7"/>
      <c r="P905" s="7"/>
    </row>
    <row r="906" spans="15:16" ht="15.75" customHeight="1" x14ac:dyDescent="0.3">
      <c r="O906" s="7"/>
      <c r="P906" s="7"/>
    </row>
    <row r="907" spans="15:16" ht="15.75" customHeight="1" x14ac:dyDescent="0.3">
      <c r="O907" s="7"/>
      <c r="P907" s="7"/>
    </row>
    <row r="908" spans="15:16" ht="15.75" customHeight="1" x14ac:dyDescent="0.3">
      <c r="O908" s="7"/>
      <c r="P908" s="7"/>
    </row>
    <row r="909" spans="15:16" ht="15.75" customHeight="1" x14ac:dyDescent="0.3">
      <c r="O909" s="7"/>
      <c r="P909" s="7"/>
    </row>
    <row r="910" spans="15:16" ht="15.75" customHeight="1" x14ac:dyDescent="0.3">
      <c r="O910" s="7"/>
      <c r="P910" s="7"/>
    </row>
    <row r="911" spans="15:16" ht="15.75" customHeight="1" x14ac:dyDescent="0.3">
      <c r="O911" s="7"/>
      <c r="P911" s="7"/>
    </row>
    <row r="912" spans="15:16" ht="15.75" customHeight="1" x14ac:dyDescent="0.3">
      <c r="O912" s="7"/>
      <c r="P912" s="7"/>
    </row>
    <row r="913" spans="15:16" ht="15.75" customHeight="1" x14ac:dyDescent="0.3">
      <c r="O913" s="7"/>
      <c r="P913" s="7"/>
    </row>
    <row r="914" spans="15:16" ht="15.75" customHeight="1" x14ac:dyDescent="0.3">
      <c r="O914" s="7"/>
      <c r="P914" s="7"/>
    </row>
    <row r="915" spans="15:16" ht="15.75" customHeight="1" x14ac:dyDescent="0.3">
      <c r="O915" s="7"/>
      <c r="P915" s="7"/>
    </row>
    <row r="916" spans="15:16" ht="15.75" customHeight="1" x14ac:dyDescent="0.3">
      <c r="O916" s="7"/>
      <c r="P916" s="7"/>
    </row>
    <row r="917" spans="15:16" ht="15.75" customHeight="1" x14ac:dyDescent="0.3">
      <c r="O917" s="7"/>
      <c r="P917" s="7"/>
    </row>
    <row r="918" spans="15:16" ht="15.75" customHeight="1" x14ac:dyDescent="0.3">
      <c r="O918" s="7"/>
      <c r="P918" s="7"/>
    </row>
    <row r="919" spans="15:16" ht="15.75" customHeight="1" x14ac:dyDescent="0.3">
      <c r="O919" s="7"/>
      <c r="P919" s="7"/>
    </row>
    <row r="920" spans="15:16" ht="15.75" customHeight="1" x14ac:dyDescent="0.3">
      <c r="O920" s="7"/>
      <c r="P920" s="7"/>
    </row>
    <row r="921" spans="15:16" ht="15.75" customHeight="1" x14ac:dyDescent="0.3">
      <c r="O921" s="7"/>
      <c r="P921" s="7"/>
    </row>
    <row r="922" spans="15:16" ht="15.75" customHeight="1" x14ac:dyDescent="0.3">
      <c r="O922" s="7"/>
      <c r="P922" s="7"/>
    </row>
    <row r="923" spans="15:16" ht="15.75" customHeight="1" x14ac:dyDescent="0.3">
      <c r="O923" s="7"/>
      <c r="P923" s="7"/>
    </row>
    <row r="924" spans="15:16" ht="15.75" customHeight="1" x14ac:dyDescent="0.3">
      <c r="O924" s="7"/>
      <c r="P924" s="7"/>
    </row>
    <row r="925" spans="15:16" ht="15.75" customHeight="1" x14ac:dyDescent="0.3">
      <c r="O925" s="7"/>
      <c r="P925" s="7"/>
    </row>
    <row r="926" spans="15:16" ht="15.75" customHeight="1" x14ac:dyDescent="0.3">
      <c r="O926" s="7"/>
      <c r="P926" s="7"/>
    </row>
    <row r="927" spans="15:16" ht="15.75" customHeight="1" x14ac:dyDescent="0.3">
      <c r="O927" s="7"/>
      <c r="P927" s="7"/>
    </row>
    <row r="928" spans="15:16" ht="15.75" customHeight="1" x14ac:dyDescent="0.3">
      <c r="O928" s="7"/>
      <c r="P928" s="7"/>
    </row>
    <row r="929" spans="15:16" ht="15.75" customHeight="1" x14ac:dyDescent="0.3">
      <c r="O929" s="7"/>
      <c r="P929" s="7"/>
    </row>
    <row r="930" spans="15:16" ht="15.75" customHeight="1" x14ac:dyDescent="0.3">
      <c r="O930" s="7"/>
      <c r="P930" s="7"/>
    </row>
    <row r="931" spans="15:16" ht="15.75" customHeight="1" x14ac:dyDescent="0.3">
      <c r="O931" s="7"/>
      <c r="P931" s="7"/>
    </row>
    <row r="932" spans="15:16" ht="15.75" customHeight="1" x14ac:dyDescent="0.3">
      <c r="O932" s="7"/>
      <c r="P932" s="7"/>
    </row>
    <row r="933" spans="15:16" ht="15.75" customHeight="1" x14ac:dyDescent="0.3">
      <c r="O933" s="7"/>
      <c r="P933" s="7"/>
    </row>
    <row r="934" spans="15:16" ht="15.75" customHeight="1" x14ac:dyDescent="0.3">
      <c r="O934" s="7"/>
      <c r="P934" s="7"/>
    </row>
    <row r="935" spans="15:16" ht="15.75" customHeight="1" x14ac:dyDescent="0.3">
      <c r="O935" s="7"/>
      <c r="P935" s="7"/>
    </row>
    <row r="936" spans="15:16" ht="15.75" customHeight="1" x14ac:dyDescent="0.3">
      <c r="O936" s="7"/>
      <c r="P936" s="7"/>
    </row>
    <row r="937" spans="15:16" ht="15.75" customHeight="1" x14ac:dyDescent="0.3">
      <c r="O937" s="7"/>
      <c r="P937" s="7"/>
    </row>
    <row r="938" spans="15:16" ht="15.75" customHeight="1" x14ac:dyDescent="0.3">
      <c r="O938" s="7"/>
      <c r="P938" s="7"/>
    </row>
    <row r="939" spans="15:16" ht="15.75" customHeight="1" x14ac:dyDescent="0.3">
      <c r="O939" s="7"/>
      <c r="P939" s="7"/>
    </row>
    <row r="940" spans="15:16" ht="15.75" customHeight="1" x14ac:dyDescent="0.3">
      <c r="O940" s="7"/>
      <c r="P940" s="7"/>
    </row>
    <row r="941" spans="15:16" ht="15.75" customHeight="1" x14ac:dyDescent="0.3">
      <c r="O941" s="7"/>
      <c r="P941" s="7"/>
    </row>
    <row r="942" spans="15:16" ht="15.75" customHeight="1" x14ac:dyDescent="0.3">
      <c r="O942" s="7"/>
      <c r="P942" s="7"/>
    </row>
    <row r="943" spans="15:16" ht="15.75" customHeight="1" x14ac:dyDescent="0.3">
      <c r="O943" s="7"/>
      <c r="P943" s="7"/>
    </row>
    <row r="944" spans="15:16" ht="15.75" customHeight="1" x14ac:dyDescent="0.3">
      <c r="O944" s="7"/>
      <c r="P944" s="7"/>
    </row>
    <row r="945" spans="15:16" ht="15.75" customHeight="1" x14ac:dyDescent="0.3">
      <c r="O945" s="7"/>
      <c r="P945" s="7"/>
    </row>
    <row r="946" spans="15:16" ht="15.75" customHeight="1" x14ac:dyDescent="0.3">
      <c r="O946" s="7"/>
      <c r="P946" s="7"/>
    </row>
    <row r="947" spans="15:16" ht="15.75" customHeight="1" x14ac:dyDescent="0.3">
      <c r="O947" s="7"/>
      <c r="P947" s="7"/>
    </row>
    <row r="948" spans="15:16" ht="15.75" customHeight="1" x14ac:dyDescent="0.3">
      <c r="O948" s="7"/>
      <c r="P948" s="7"/>
    </row>
    <row r="949" spans="15:16" ht="15.75" customHeight="1" x14ac:dyDescent="0.3">
      <c r="O949" s="7"/>
      <c r="P949" s="7"/>
    </row>
    <row r="950" spans="15:16" ht="15.75" customHeight="1" x14ac:dyDescent="0.3">
      <c r="O950" s="7"/>
      <c r="P950" s="7"/>
    </row>
    <row r="951" spans="15:16" ht="15.75" customHeight="1" x14ac:dyDescent="0.3">
      <c r="O951" s="7"/>
      <c r="P951" s="7"/>
    </row>
    <row r="952" spans="15:16" ht="15.75" customHeight="1" x14ac:dyDescent="0.3">
      <c r="O952" s="7"/>
      <c r="P952" s="7"/>
    </row>
    <row r="953" spans="15:16" ht="15.75" customHeight="1" x14ac:dyDescent="0.3">
      <c r="O953" s="7"/>
      <c r="P953" s="7"/>
    </row>
    <row r="954" spans="15:16" ht="15.75" customHeight="1" x14ac:dyDescent="0.3">
      <c r="O954" s="7"/>
      <c r="P954" s="7"/>
    </row>
    <row r="955" spans="15:16" ht="15.75" customHeight="1" x14ac:dyDescent="0.3">
      <c r="O955" s="7"/>
      <c r="P955" s="7"/>
    </row>
    <row r="956" spans="15:16" ht="15.75" customHeight="1" x14ac:dyDescent="0.3">
      <c r="O956" s="7"/>
      <c r="P956" s="7"/>
    </row>
    <row r="957" spans="15:16" ht="15.75" customHeight="1" x14ac:dyDescent="0.3">
      <c r="O957" s="7"/>
      <c r="P957" s="7"/>
    </row>
    <row r="958" spans="15:16" ht="15.75" customHeight="1" x14ac:dyDescent="0.3">
      <c r="O958" s="7"/>
      <c r="P958" s="7"/>
    </row>
    <row r="959" spans="15:16" ht="15.75" customHeight="1" x14ac:dyDescent="0.3">
      <c r="O959" s="7"/>
      <c r="P959" s="7"/>
    </row>
    <row r="960" spans="15:16" ht="15.75" customHeight="1" x14ac:dyDescent="0.3">
      <c r="O960" s="7"/>
      <c r="P960" s="7"/>
    </row>
    <row r="961" spans="15:16" ht="15.75" customHeight="1" x14ac:dyDescent="0.3">
      <c r="O961" s="7"/>
      <c r="P961" s="7"/>
    </row>
    <row r="962" spans="15:16" ht="15.75" customHeight="1" x14ac:dyDescent="0.3">
      <c r="O962" s="7"/>
      <c r="P962" s="7"/>
    </row>
    <row r="963" spans="15:16" ht="15.75" customHeight="1" x14ac:dyDescent="0.3">
      <c r="O963" s="7"/>
      <c r="P963" s="7"/>
    </row>
    <row r="964" spans="15:16" ht="15.75" customHeight="1" x14ac:dyDescent="0.3">
      <c r="O964" s="7"/>
      <c r="P964" s="7"/>
    </row>
    <row r="965" spans="15:16" ht="15.75" customHeight="1" x14ac:dyDescent="0.3">
      <c r="O965" s="7"/>
      <c r="P965" s="7"/>
    </row>
    <row r="966" spans="15:16" ht="15.75" customHeight="1" x14ac:dyDescent="0.3">
      <c r="O966" s="7"/>
      <c r="P966" s="7"/>
    </row>
    <row r="967" spans="15:16" ht="15.75" customHeight="1" x14ac:dyDescent="0.3">
      <c r="O967" s="7"/>
      <c r="P967" s="7"/>
    </row>
    <row r="968" spans="15:16" ht="15.75" customHeight="1" x14ac:dyDescent="0.3">
      <c r="O968" s="7"/>
      <c r="P968" s="7"/>
    </row>
    <row r="969" spans="15:16" ht="15.75" customHeight="1" x14ac:dyDescent="0.3">
      <c r="O969" s="7"/>
      <c r="P969" s="7"/>
    </row>
    <row r="970" spans="15:16" ht="15.75" customHeight="1" x14ac:dyDescent="0.3">
      <c r="O970" s="7"/>
      <c r="P970" s="7"/>
    </row>
    <row r="971" spans="15:16" ht="15.75" customHeight="1" x14ac:dyDescent="0.3">
      <c r="O971" s="7"/>
      <c r="P971" s="7"/>
    </row>
    <row r="972" spans="15:16" ht="15.75" customHeight="1" x14ac:dyDescent="0.3">
      <c r="O972" s="7"/>
      <c r="P972" s="7"/>
    </row>
    <row r="973" spans="15:16" ht="15.75" customHeight="1" x14ac:dyDescent="0.3">
      <c r="O973" s="7"/>
      <c r="P973" s="7"/>
    </row>
    <row r="974" spans="15:16" ht="15.75" customHeight="1" x14ac:dyDescent="0.3">
      <c r="O974" s="7"/>
      <c r="P974" s="7"/>
    </row>
    <row r="975" spans="15:16" ht="15.75" customHeight="1" x14ac:dyDescent="0.3">
      <c r="O975" s="7"/>
      <c r="P975" s="7"/>
    </row>
    <row r="976" spans="15:16" ht="15.75" customHeight="1" x14ac:dyDescent="0.3">
      <c r="O976" s="7"/>
      <c r="P976" s="7"/>
    </row>
    <row r="977" spans="15:16" ht="15.75" customHeight="1" x14ac:dyDescent="0.3">
      <c r="O977" s="7"/>
      <c r="P977" s="7"/>
    </row>
    <row r="978" spans="15:16" ht="15.75" customHeight="1" x14ac:dyDescent="0.3">
      <c r="O978" s="7"/>
      <c r="P978" s="7"/>
    </row>
    <row r="979" spans="15:16" ht="15.75" customHeight="1" x14ac:dyDescent="0.3">
      <c r="O979" s="7"/>
      <c r="P979" s="7"/>
    </row>
    <row r="980" spans="15:16" ht="15.75" customHeight="1" x14ac:dyDescent="0.3">
      <c r="O980" s="7"/>
      <c r="P980" s="7"/>
    </row>
    <row r="981" spans="15:16" ht="15.75" customHeight="1" x14ac:dyDescent="0.3">
      <c r="O981" s="7"/>
      <c r="P981" s="7"/>
    </row>
    <row r="982" spans="15:16" ht="15.75" customHeight="1" x14ac:dyDescent="0.3">
      <c r="O982" s="7"/>
      <c r="P982" s="7"/>
    </row>
    <row r="983" spans="15:16" ht="15.75" customHeight="1" x14ac:dyDescent="0.3">
      <c r="O983" s="7"/>
      <c r="P983" s="7"/>
    </row>
    <row r="984" spans="15:16" ht="15.75" customHeight="1" x14ac:dyDescent="0.3">
      <c r="O984" s="7"/>
      <c r="P984" s="7"/>
    </row>
    <row r="985" spans="15:16" ht="15.75" customHeight="1" x14ac:dyDescent="0.3">
      <c r="O985" s="7"/>
      <c r="P985" s="7"/>
    </row>
    <row r="986" spans="15:16" ht="15.75" customHeight="1" x14ac:dyDescent="0.3">
      <c r="O986" s="7"/>
      <c r="P986" s="7"/>
    </row>
    <row r="987" spans="15:16" ht="15.75" customHeight="1" x14ac:dyDescent="0.3">
      <c r="O987" s="7"/>
      <c r="P987" s="7"/>
    </row>
    <row r="988" spans="15:16" ht="15.75" customHeight="1" x14ac:dyDescent="0.3">
      <c r="O988" s="7"/>
      <c r="P988" s="7"/>
    </row>
    <row r="989" spans="15:16" ht="15.75" customHeight="1" x14ac:dyDescent="0.3">
      <c r="O989" s="7"/>
      <c r="P989" s="7"/>
    </row>
    <row r="990" spans="15:16" ht="15.75" customHeight="1" x14ac:dyDescent="0.3">
      <c r="O990" s="7"/>
      <c r="P990" s="7"/>
    </row>
    <row r="991" spans="15:16" ht="15.75" customHeight="1" x14ac:dyDescent="0.3">
      <c r="O991" s="7"/>
      <c r="P991" s="7"/>
    </row>
    <row r="992" spans="15:16" ht="15.75" customHeight="1" x14ac:dyDescent="0.3">
      <c r="O992" s="7"/>
      <c r="P992" s="7"/>
    </row>
    <row r="993" spans="15:16" ht="15.75" customHeight="1" x14ac:dyDescent="0.3">
      <c r="O993" s="7"/>
      <c r="P993" s="7"/>
    </row>
    <row r="994" spans="15:16" ht="15.75" customHeight="1" x14ac:dyDescent="0.3">
      <c r="O994" s="7"/>
      <c r="P994" s="7"/>
    </row>
    <row r="995" spans="15:16" ht="15.75" customHeight="1" x14ac:dyDescent="0.3">
      <c r="O995" s="7"/>
      <c r="P995" s="7"/>
    </row>
    <row r="996" spans="15:16" ht="15.75" customHeight="1" x14ac:dyDescent="0.3">
      <c r="O996" s="7"/>
      <c r="P996" s="7"/>
    </row>
    <row r="997" spans="15:16" ht="15.75" customHeight="1" x14ac:dyDescent="0.3">
      <c r="O997" s="7"/>
      <c r="P997" s="7"/>
    </row>
    <row r="998" spans="15:16" ht="15.75" customHeight="1" x14ac:dyDescent="0.3">
      <c r="O998" s="7"/>
      <c r="P998" s="7"/>
    </row>
    <row r="999" spans="15:16" ht="15.75" customHeight="1" x14ac:dyDescent="0.3">
      <c r="O999" s="7"/>
      <c r="P999" s="7"/>
    </row>
    <row r="1000" spans="15:16" ht="15.75" customHeight="1" x14ac:dyDescent="0.3">
      <c r="O1000" s="7"/>
      <c r="P1000" s="7"/>
    </row>
    <row r="1001" spans="15:16" ht="15.75" customHeight="1" x14ac:dyDescent="0.3">
      <c r="O1001" s="7"/>
      <c r="P1001" s="7"/>
    </row>
    <row r="1002" spans="15:16" ht="15.75" customHeight="1" x14ac:dyDescent="0.3">
      <c r="O1002" s="7"/>
      <c r="P1002" s="7"/>
    </row>
    <row r="1003" spans="15:16" ht="15.75" customHeight="1" x14ac:dyDescent="0.3">
      <c r="O1003" s="7"/>
      <c r="P1003" s="7"/>
    </row>
    <row r="1004" spans="15:16" ht="15.75" customHeight="1" x14ac:dyDescent="0.3">
      <c r="O1004" s="7"/>
      <c r="P1004" s="7"/>
    </row>
    <row r="1005" spans="15:16" ht="15.75" customHeight="1" x14ac:dyDescent="0.3">
      <c r="O1005" s="7"/>
      <c r="P1005" s="7"/>
    </row>
    <row r="1006" spans="15:16" ht="15.75" customHeight="1" x14ac:dyDescent="0.3">
      <c r="O1006" s="7"/>
      <c r="P1006" s="7"/>
    </row>
    <row r="1007" spans="15:16" ht="15.75" customHeight="1" x14ac:dyDescent="0.3">
      <c r="O1007" s="7"/>
      <c r="P1007" s="7"/>
    </row>
    <row r="1008" spans="15:16" ht="15.75" customHeight="1" x14ac:dyDescent="0.3">
      <c r="O1008" s="7"/>
      <c r="P1008" s="7"/>
    </row>
    <row r="1009" spans="15:16" ht="15.75" customHeight="1" x14ac:dyDescent="0.3">
      <c r="O1009" s="7"/>
      <c r="P1009" s="7"/>
    </row>
    <row r="1010" spans="15:16" ht="15.75" customHeight="1" x14ac:dyDescent="0.3">
      <c r="O1010" s="7"/>
      <c r="P1010" s="7"/>
    </row>
    <row r="1011" spans="15:16" ht="15.75" customHeight="1" x14ac:dyDescent="0.3">
      <c r="O1011" s="7"/>
      <c r="P1011" s="7"/>
    </row>
    <row r="1012" spans="15:16" ht="15.75" customHeight="1" x14ac:dyDescent="0.3">
      <c r="O1012" s="7"/>
      <c r="P1012" s="7"/>
    </row>
    <row r="1013" spans="15:16" ht="15.75" customHeight="1" x14ac:dyDescent="0.3">
      <c r="O1013" s="7"/>
      <c r="P1013" s="7"/>
    </row>
    <row r="1014" spans="15:16" ht="15.75" customHeight="1" x14ac:dyDescent="0.3">
      <c r="O1014" s="7"/>
      <c r="P1014" s="7"/>
    </row>
    <row r="1015" spans="15:16" ht="15.75" customHeight="1" x14ac:dyDescent="0.3">
      <c r="O1015" s="7"/>
      <c r="P1015" s="7"/>
    </row>
    <row r="1016" spans="15:16" ht="15.75" customHeight="1" x14ac:dyDescent="0.3">
      <c r="O1016" s="7"/>
      <c r="P1016" s="7"/>
    </row>
    <row r="1017" spans="15:16" ht="15.75" customHeight="1" x14ac:dyDescent="0.3">
      <c r="O1017" s="7"/>
      <c r="P1017" s="7"/>
    </row>
    <row r="1018" spans="15:16" ht="15.75" customHeight="1" x14ac:dyDescent="0.3">
      <c r="O1018" s="7"/>
      <c r="P1018" s="7"/>
    </row>
    <row r="1019" spans="15:16" ht="15.75" customHeight="1" x14ac:dyDescent="0.3">
      <c r="O1019" s="7"/>
      <c r="P1019" s="7"/>
    </row>
    <row r="1020" spans="15:16" ht="15.75" customHeight="1" x14ac:dyDescent="0.3">
      <c r="O1020" s="7"/>
      <c r="P1020" s="7"/>
    </row>
    <row r="1021" spans="15:16" ht="15.75" customHeight="1" x14ac:dyDescent="0.3">
      <c r="O1021" s="7"/>
      <c r="P1021" s="7"/>
    </row>
    <row r="1022" spans="15:16" ht="15.75" customHeight="1" x14ac:dyDescent="0.3">
      <c r="O1022" s="7"/>
      <c r="P1022" s="7"/>
    </row>
    <row r="1023" spans="15:16" ht="15.75" customHeight="1" x14ac:dyDescent="0.3">
      <c r="O1023" s="7"/>
      <c r="P1023" s="7"/>
    </row>
    <row r="1024" spans="15:16" ht="15.75" customHeight="1" x14ac:dyDescent="0.3">
      <c r="O1024" s="7"/>
      <c r="P1024" s="7"/>
    </row>
    <row r="1025" spans="15:16" ht="15.75" customHeight="1" x14ac:dyDescent="0.3">
      <c r="O1025" s="7"/>
      <c r="P1025" s="7"/>
    </row>
    <row r="1026" spans="15:16" ht="15.75" customHeight="1" x14ac:dyDescent="0.3">
      <c r="O1026" s="7"/>
      <c r="P1026" s="7"/>
    </row>
    <row r="1027" spans="15:16" ht="15.75" customHeight="1" x14ac:dyDescent="0.3">
      <c r="O1027" s="7"/>
      <c r="P1027" s="7"/>
    </row>
    <row r="1028" spans="15:16" ht="15.75" customHeight="1" x14ac:dyDescent="0.3">
      <c r="O1028" s="7"/>
      <c r="P1028" s="7"/>
    </row>
    <row r="1029" spans="15:16" ht="15.75" customHeight="1" x14ac:dyDescent="0.3">
      <c r="O1029" s="7"/>
      <c r="P1029" s="7"/>
    </row>
    <row r="1030" spans="15:16" ht="15.75" customHeight="1" x14ac:dyDescent="0.3">
      <c r="O1030" s="7"/>
      <c r="P1030" s="7"/>
    </row>
    <row r="1031" spans="15:16" ht="15.75" customHeight="1" x14ac:dyDescent="0.3">
      <c r="O1031" s="7"/>
      <c r="P1031" s="7"/>
    </row>
    <row r="1032" spans="15:16" ht="15.75" customHeight="1" x14ac:dyDescent="0.3">
      <c r="O1032" s="7"/>
      <c r="P1032" s="7"/>
    </row>
    <row r="1033" spans="15:16" ht="15.75" customHeight="1" x14ac:dyDescent="0.3">
      <c r="O1033" s="7"/>
      <c r="P1033" s="7"/>
    </row>
    <row r="1034" spans="15:16" ht="15.75" customHeight="1" x14ac:dyDescent="0.3">
      <c r="O1034" s="7"/>
      <c r="P1034" s="7"/>
    </row>
    <row r="1035" spans="15:16" ht="15.75" customHeight="1" x14ac:dyDescent="0.3">
      <c r="O1035" s="7"/>
      <c r="P1035" s="7"/>
    </row>
    <row r="1036" spans="15:16" ht="15.75" customHeight="1" x14ac:dyDescent="0.3">
      <c r="O1036" s="7"/>
      <c r="P1036" s="7"/>
    </row>
    <row r="1037" spans="15:16" ht="15.75" customHeight="1" x14ac:dyDescent="0.3">
      <c r="O1037" s="7"/>
      <c r="P1037" s="7"/>
    </row>
    <row r="1038" spans="15:16" ht="15.75" customHeight="1" x14ac:dyDescent="0.3">
      <c r="O1038" s="7"/>
      <c r="P1038" s="7"/>
    </row>
    <row r="1039" spans="15:16" ht="15.75" customHeight="1" x14ac:dyDescent="0.3">
      <c r="O1039" s="7"/>
      <c r="P1039" s="7"/>
    </row>
    <row r="1040" spans="15:16" ht="15.75" customHeight="1" x14ac:dyDescent="0.3">
      <c r="O1040" s="7"/>
      <c r="P1040" s="7"/>
    </row>
  </sheetData>
  <mergeCells count="17">
    <mergeCell ref="B39:K39"/>
    <mergeCell ref="B29:K29"/>
    <mergeCell ref="B20:K20"/>
    <mergeCell ref="B1:K1"/>
    <mergeCell ref="B293:J293"/>
    <mergeCell ref="B45:K45"/>
    <mergeCell ref="B297:J297"/>
    <mergeCell ref="B84:K84"/>
    <mergeCell ref="A259:L259"/>
    <mergeCell ref="B261:J261"/>
    <mergeCell ref="B265:J265"/>
    <mergeCell ref="B269:J269"/>
    <mergeCell ref="B273:J273"/>
    <mergeCell ref="B277:J277"/>
    <mergeCell ref="B281:J281"/>
    <mergeCell ref="B285:J285"/>
    <mergeCell ref="B289:J289"/>
  </mergeCells>
  <printOptions gridLines="1"/>
  <pageMargins left="0.7" right="0.7" top="0.75" bottom="0.75" header="0" footer="0"/>
  <pageSetup scale="3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40"/>
  <sheetViews>
    <sheetView zoomScaleNormal="100" workbookViewId="0">
      <selection activeCell="D17" sqref="D17"/>
    </sheetView>
  </sheetViews>
  <sheetFormatPr defaultColWidth="12.58203125" defaultRowHeight="15" customHeight="1" x14ac:dyDescent="0.3"/>
  <cols>
    <col min="1" max="1" width="12.58203125" customWidth="1"/>
    <col min="2" max="2" width="13.58203125" customWidth="1"/>
    <col min="3" max="3" width="20.58203125" customWidth="1"/>
    <col min="4" max="4" width="21.58203125" customWidth="1"/>
    <col min="5" max="5" width="9.58203125" customWidth="1"/>
    <col min="6" max="6" width="14.58203125" customWidth="1"/>
    <col min="7" max="7" width="13" customWidth="1"/>
    <col min="8" max="8" width="13.5" customWidth="1"/>
    <col min="9" max="9" width="11.5" customWidth="1"/>
    <col min="10" max="10" width="11.08203125" customWidth="1"/>
    <col min="11" max="11" width="9.58203125" customWidth="1"/>
    <col min="12" max="12" width="47.08203125" customWidth="1"/>
    <col min="13" max="14" width="11.08203125" customWidth="1"/>
    <col min="15" max="15" width="10.08203125" customWidth="1"/>
    <col min="16" max="16" width="9.08203125" customWidth="1"/>
    <col min="17" max="25" width="7.58203125" customWidth="1"/>
  </cols>
  <sheetData>
    <row r="1" spans="1:26" ht="14.25" customHeight="1" x14ac:dyDescent="0.35">
      <c r="A1" s="56"/>
      <c r="B1" s="182" t="s">
        <v>0</v>
      </c>
      <c r="C1" s="183"/>
      <c r="D1" s="183"/>
      <c r="E1" s="183"/>
      <c r="F1" s="183"/>
      <c r="G1" s="183"/>
      <c r="H1" s="183"/>
      <c r="I1" s="183"/>
      <c r="J1" s="2"/>
      <c r="K1" s="2"/>
      <c r="L1" s="4"/>
      <c r="M1" s="5"/>
      <c r="N1" s="5"/>
      <c r="O1" s="5"/>
    </row>
    <row r="2" spans="1:26" ht="14.25" customHeight="1" x14ac:dyDescent="0.35">
      <c r="A2" s="56"/>
      <c r="B2" s="38" t="s">
        <v>1</v>
      </c>
      <c r="C2" s="38" t="s">
        <v>2</v>
      </c>
      <c r="D2" s="38" t="s">
        <v>3</v>
      </c>
      <c r="E2" s="38" t="s">
        <v>4</v>
      </c>
      <c r="F2" s="55" t="s">
        <v>5</v>
      </c>
      <c r="G2" s="55" t="s">
        <v>6</v>
      </c>
      <c r="H2" s="38" t="s">
        <v>7</v>
      </c>
      <c r="I2" s="38" t="s">
        <v>8</v>
      </c>
      <c r="J2" s="38" t="s">
        <v>9</v>
      </c>
      <c r="K2" s="38" t="s">
        <v>10</v>
      </c>
      <c r="L2" s="10"/>
      <c r="M2" s="11"/>
      <c r="N2" s="5"/>
      <c r="O2" s="5"/>
    </row>
    <row r="3" spans="1:26" ht="14.25" customHeight="1" x14ac:dyDescent="0.35">
      <c r="A3" s="12"/>
      <c r="B3" s="13"/>
      <c r="C3" s="14"/>
      <c r="D3" s="13"/>
      <c r="E3" s="15"/>
      <c r="F3" s="16"/>
      <c r="G3" s="16"/>
      <c r="H3" s="14"/>
      <c r="I3" s="13"/>
      <c r="J3" s="19"/>
      <c r="K3" s="15"/>
      <c r="L3" s="3"/>
      <c r="M3" s="11"/>
      <c r="N3" s="5"/>
      <c r="O3" s="5"/>
      <c r="P3" s="6"/>
      <c r="Q3" s="7"/>
      <c r="R3" s="18"/>
      <c r="S3" s="18"/>
      <c r="T3" s="18"/>
      <c r="U3" s="18"/>
      <c r="V3" s="18"/>
      <c r="W3" s="18"/>
      <c r="X3" s="18"/>
      <c r="Y3" s="18"/>
      <c r="Z3" s="18"/>
    </row>
    <row r="4" spans="1:26" ht="14.25" customHeight="1" x14ac:dyDescent="0.35">
      <c r="A4" s="120">
        <v>46055</v>
      </c>
      <c r="B4" s="78">
        <v>32320</v>
      </c>
      <c r="C4" s="79" t="s">
        <v>32</v>
      </c>
      <c r="D4" s="78" t="s">
        <v>33</v>
      </c>
      <c r="E4" s="80">
        <v>45756</v>
      </c>
      <c r="F4" s="81">
        <v>86483</v>
      </c>
      <c r="G4" s="81">
        <f>((F4-5569)*1.45)+5569+12000</f>
        <v>134894.29999999999</v>
      </c>
      <c r="H4" s="164" t="s">
        <v>1187</v>
      </c>
      <c r="I4" s="164" t="s">
        <v>14</v>
      </c>
      <c r="J4" s="164"/>
      <c r="K4" s="165" t="s">
        <v>579</v>
      </c>
      <c r="L4" s="3" t="s">
        <v>1195</v>
      </c>
      <c r="M4" s="17">
        <v>46055</v>
      </c>
      <c r="N4" s="5">
        <f>M4-E4</f>
        <v>299</v>
      </c>
      <c r="O4" s="5" t="s">
        <v>1176</v>
      </c>
      <c r="P4" s="6"/>
      <c r="Q4" s="18"/>
      <c r="R4" s="18"/>
      <c r="S4" s="18"/>
      <c r="T4" s="18"/>
      <c r="U4" s="18"/>
      <c r="V4" s="18"/>
      <c r="W4" s="18"/>
      <c r="X4" s="18"/>
      <c r="Y4" s="18"/>
    </row>
    <row r="5" spans="1:26" ht="14.25" customHeight="1" x14ac:dyDescent="0.35">
      <c r="A5" s="104"/>
      <c r="B5" s="105"/>
      <c r="C5" s="106"/>
      <c r="D5" s="105"/>
      <c r="E5" s="107"/>
      <c r="F5" s="108"/>
      <c r="G5" s="108"/>
      <c r="H5" s="106"/>
      <c r="I5" s="105"/>
      <c r="J5" s="121"/>
      <c r="K5" s="107"/>
      <c r="L5" s="3"/>
      <c r="M5" s="11"/>
      <c r="N5" s="5"/>
      <c r="O5" s="5"/>
      <c r="P5" s="6"/>
      <c r="Q5" s="7"/>
      <c r="R5" s="18"/>
      <c r="S5" s="18"/>
      <c r="T5" s="18"/>
      <c r="U5" s="18"/>
      <c r="V5" s="18"/>
      <c r="W5" s="18"/>
      <c r="X5" s="18"/>
      <c r="Y5" s="18"/>
      <c r="Z5" s="18"/>
    </row>
    <row r="6" spans="1:26" ht="14.25" customHeight="1" x14ac:dyDescent="0.35">
      <c r="A6" s="120">
        <v>46043</v>
      </c>
      <c r="B6" s="142">
        <v>26394</v>
      </c>
      <c r="C6" s="111" t="s">
        <v>11</v>
      </c>
      <c r="D6" s="142" t="s">
        <v>1115</v>
      </c>
      <c r="E6" s="148">
        <v>46038</v>
      </c>
      <c r="F6" s="81">
        <v>38111</v>
      </c>
      <c r="G6" s="81">
        <f>((F6-750)*1.45)+750+5750</f>
        <v>60673.45</v>
      </c>
      <c r="H6" s="142" t="s">
        <v>1124</v>
      </c>
      <c r="I6" s="143" t="s">
        <v>212</v>
      </c>
      <c r="J6" s="143">
        <v>3517326</v>
      </c>
      <c r="K6" s="144"/>
      <c r="L6" s="43" t="s">
        <v>1181</v>
      </c>
      <c r="M6" s="17">
        <v>46045</v>
      </c>
      <c r="N6" s="5">
        <f>M6-E6</f>
        <v>7</v>
      </c>
      <c r="O6" s="6"/>
      <c r="P6" s="7"/>
      <c r="Q6" s="18"/>
      <c r="R6" s="18"/>
      <c r="S6" s="18"/>
      <c r="T6" s="18"/>
      <c r="U6" s="18"/>
      <c r="V6" s="18"/>
      <c r="W6" s="18"/>
      <c r="X6" s="18"/>
      <c r="Y6" s="18"/>
    </row>
    <row r="7" spans="1:26" ht="14.25" customHeight="1" x14ac:dyDescent="0.35">
      <c r="A7" s="120">
        <v>46029</v>
      </c>
      <c r="B7" s="110">
        <v>9941</v>
      </c>
      <c r="C7" s="110" t="s">
        <v>21</v>
      </c>
      <c r="D7" s="78" t="s">
        <v>46</v>
      </c>
      <c r="E7" s="112">
        <v>46021</v>
      </c>
      <c r="F7" s="81">
        <v>57896</v>
      </c>
      <c r="G7" s="81">
        <f>((F7)*1.5)+1816.5+5750</f>
        <v>94410.5</v>
      </c>
      <c r="H7" s="142" t="s">
        <v>1043</v>
      </c>
      <c r="I7" s="143" t="s">
        <v>14</v>
      </c>
      <c r="J7" s="143">
        <v>3498745</v>
      </c>
      <c r="K7" s="144"/>
      <c r="L7" s="43"/>
      <c r="M7" s="17">
        <v>46031</v>
      </c>
      <c r="N7" s="5">
        <f>M7-E7</f>
        <v>10</v>
      </c>
      <c r="O7" s="20" t="s">
        <v>591</v>
      </c>
      <c r="P7" s="7"/>
      <c r="Q7" s="18"/>
      <c r="R7" s="18"/>
      <c r="S7" s="18"/>
      <c r="T7" s="18"/>
      <c r="U7" s="18"/>
      <c r="V7" s="18"/>
      <c r="W7" s="18"/>
      <c r="X7" s="18"/>
      <c r="Y7" s="18"/>
    </row>
    <row r="8" spans="1:26" ht="14.25" customHeight="1" x14ac:dyDescent="0.35">
      <c r="A8" s="120">
        <v>46034</v>
      </c>
      <c r="B8" s="142">
        <v>2414</v>
      </c>
      <c r="C8" s="79" t="s">
        <v>21</v>
      </c>
      <c r="D8" s="78" t="s">
        <v>22</v>
      </c>
      <c r="E8" s="148">
        <v>46014</v>
      </c>
      <c r="F8" s="81">
        <v>63808</v>
      </c>
      <c r="G8" s="81">
        <f>((F8)*1.5)+3082+11250</f>
        <v>110044</v>
      </c>
      <c r="H8" s="142" t="s">
        <v>1096</v>
      </c>
      <c r="I8" s="143" t="s">
        <v>14</v>
      </c>
      <c r="J8" s="143">
        <v>3513175</v>
      </c>
      <c r="K8" s="144"/>
      <c r="L8" s="43" t="s">
        <v>1172</v>
      </c>
      <c r="M8" s="17">
        <v>46037</v>
      </c>
      <c r="N8" s="5">
        <f>M8-E8</f>
        <v>23</v>
      </c>
      <c r="O8" s="20" t="s">
        <v>25</v>
      </c>
      <c r="P8" s="7"/>
      <c r="Q8" s="18"/>
      <c r="R8" s="18"/>
      <c r="S8" s="18"/>
      <c r="T8" s="18"/>
      <c r="U8" s="18"/>
      <c r="V8" s="18"/>
      <c r="W8" s="18"/>
      <c r="X8" s="18"/>
      <c r="Y8" s="18"/>
    </row>
    <row r="9" spans="1:26" ht="14.25" customHeight="1" x14ac:dyDescent="0.35">
      <c r="A9" s="120">
        <v>46034</v>
      </c>
      <c r="B9" s="110">
        <v>9870</v>
      </c>
      <c r="C9" s="105" t="s">
        <v>21</v>
      </c>
      <c r="D9" s="110" t="s">
        <v>1086</v>
      </c>
      <c r="E9" s="112">
        <v>46000</v>
      </c>
      <c r="F9" s="114">
        <v>47507</v>
      </c>
      <c r="G9" s="81">
        <f>((F9)*1.5)+1816.5+5750</f>
        <v>78827</v>
      </c>
      <c r="H9" s="110" t="s">
        <v>1097</v>
      </c>
      <c r="I9" s="111" t="s">
        <v>36</v>
      </c>
      <c r="J9" s="147" t="s">
        <v>579</v>
      </c>
      <c r="K9" s="112" t="s">
        <v>842</v>
      </c>
      <c r="L9" s="5"/>
      <c r="M9" s="17">
        <v>46034</v>
      </c>
      <c r="N9" s="5">
        <f>M9-E9</f>
        <v>34</v>
      </c>
      <c r="O9" s="20" t="s">
        <v>591</v>
      </c>
      <c r="P9" s="6"/>
      <c r="Q9" s="18"/>
      <c r="R9" s="18"/>
      <c r="S9" s="18"/>
      <c r="T9" s="18"/>
      <c r="U9" s="18"/>
      <c r="V9" s="18"/>
      <c r="W9" s="18"/>
      <c r="X9" s="18"/>
      <c r="Y9" s="18"/>
    </row>
    <row r="10" spans="1:26" ht="14.25" customHeight="1" x14ac:dyDescent="0.35">
      <c r="A10" s="104"/>
      <c r="B10" s="105"/>
      <c r="C10" s="106"/>
      <c r="D10" s="105"/>
      <c r="E10" s="107"/>
      <c r="F10" s="108"/>
      <c r="G10" s="108"/>
      <c r="H10" s="106"/>
      <c r="I10" s="105"/>
      <c r="J10" s="121"/>
      <c r="K10" s="107"/>
      <c r="L10" s="3"/>
      <c r="M10" s="11"/>
      <c r="N10" s="5"/>
      <c r="O10" s="5"/>
      <c r="P10" s="6"/>
      <c r="Q10" s="7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15" customHeight="1" x14ac:dyDescent="0.35">
      <c r="A11" s="120">
        <v>46008</v>
      </c>
      <c r="B11" s="142">
        <v>9889</v>
      </c>
      <c r="C11" s="105" t="s">
        <v>21</v>
      </c>
      <c r="D11" s="78" t="s">
        <v>46</v>
      </c>
      <c r="E11" s="148">
        <v>46002</v>
      </c>
      <c r="F11" s="81">
        <v>58826</v>
      </c>
      <c r="G11" s="81">
        <f>((F11)*1.5)+1816.5+5750</f>
        <v>95805.5</v>
      </c>
      <c r="H11" s="142" t="s">
        <v>1040</v>
      </c>
      <c r="I11" s="143" t="s">
        <v>14</v>
      </c>
      <c r="J11" s="143">
        <v>3498325</v>
      </c>
      <c r="K11" s="144"/>
      <c r="L11" s="43" t="s">
        <v>1146</v>
      </c>
      <c r="M11" s="17">
        <v>46012</v>
      </c>
      <c r="N11" s="5">
        <f>M11-E11</f>
        <v>10</v>
      </c>
      <c r="O11" s="20" t="s">
        <v>591</v>
      </c>
      <c r="P11" s="3" t="s">
        <v>1018</v>
      </c>
      <c r="Q11" s="18"/>
      <c r="R11" s="18"/>
      <c r="S11" s="18"/>
      <c r="T11" s="18"/>
      <c r="U11" s="18"/>
      <c r="V11" s="18"/>
      <c r="W11" s="18"/>
      <c r="X11" s="18"/>
      <c r="Y11" s="18"/>
    </row>
    <row r="12" spans="1:26" ht="14.25" customHeight="1" x14ac:dyDescent="0.35">
      <c r="A12" s="120">
        <v>46020</v>
      </c>
      <c r="B12" s="78">
        <v>24468</v>
      </c>
      <c r="C12" s="79" t="s">
        <v>11</v>
      </c>
      <c r="D12" s="78" t="s">
        <v>1020</v>
      </c>
      <c r="E12" s="80">
        <v>45719</v>
      </c>
      <c r="F12" s="81">
        <v>35217</v>
      </c>
      <c r="G12" s="81">
        <f>((F12-1730)*1.45)+1730+5750</f>
        <v>56036.15</v>
      </c>
      <c r="H12" s="142" t="s">
        <v>1074</v>
      </c>
      <c r="I12" s="143" t="s">
        <v>14</v>
      </c>
      <c r="J12" s="143">
        <v>3507821</v>
      </c>
      <c r="K12" s="144"/>
      <c r="L12" s="5" t="s">
        <v>1153</v>
      </c>
      <c r="M12" s="17">
        <v>46021</v>
      </c>
      <c r="N12" s="5">
        <f>M12-E12</f>
        <v>302</v>
      </c>
      <c r="O12" s="5" t="s">
        <v>1017</v>
      </c>
      <c r="P12" s="6"/>
      <c r="Q12" s="18"/>
      <c r="R12" s="18"/>
      <c r="S12" s="18"/>
      <c r="T12" s="18"/>
      <c r="U12" s="18"/>
      <c r="V12" s="18"/>
      <c r="W12" s="18"/>
      <c r="X12" s="18"/>
      <c r="Y12" s="18"/>
    </row>
    <row r="13" spans="1:26" ht="14.25" customHeight="1" x14ac:dyDescent="0.35">
      <c r="A13" s="120">
        <v>46014</v>
      </c>
      <c r="B13" s="78" t="s">
        <v>970</v>
      </c>
      <c r="C13" s="79" t="s">
        <v>972</v>
      </c>
      <c r="D13" s="78" t="s">
        <v>1035</v>
      </c>
      <c r="E13" s="80" t="s">
        <v>973</v>
      </c>
      <c r="F13" s="131" t="s">
        <v>1000</v>
      </c>
      <c r="G13" s="81">
        <v>55000</v>
      </c>
      <c r="H13" s="79" t="s">
        <v>1060</v>
      </c>
      <c r="I13" s="79" t="s">
        <v>31</v>
      </c>
      <c r="J13" s="140"/>
      <c r="K13" s="134" t="s">
        <v>300</v>
      </c>
      <c r="L13" s="5" t="s">
        <v>1139</v>
      </c>
      <c r="M13" s="2" t="s">
        <v>1013</v>
      </c>
      <c r="N13" s="2" t="s">
        <v>1013</v>
      </c>
      <c r="O13" s="2" t="s">
        <v>1014</v>
      </c>
      <c r="P13" s="2" t="s">
        <v>1036</v>
      </c>
      <c r="Q13" s="3" t="s">
        <v>1059</v>
      </c>
      <c r="R13" s="18"/>
      <c r="S13" s="18"/>
      <c r="T13" s="18"/>
      <c r="U13" s="18"/>
      <c r="V13" s="18"/>
      <c r="W13" s="18"/>
      <c r="X13" s="18"/>
      <c r="Y13" s="18"/>
    </row>
    <row r="14" spans="1:26" ht="14.25" customHeight="1" x14ac:dyDescent="0.35">
      <c r="A14" s="120">
        <v>45985</v>
      </c>
      <c r="B14" s="78">
        <v>8566</v>
      </c>
      <c r="C14" s="79" t="s">
        <v>972</v>
      </c>
      <c r="D14" s="78" t="s">
        <v>1033</v>
      </c>
      <c r="E14" s="80" t="s">
        <v>973</v>
      </c>
      <c r="F14" s="131" t="s">
        <v>997</v>
      </c>
      <c r="G14" s="81">
        <v>60000</v>
      </c>
      <c r="H14" s="132" t="s">
        <v>1029</v>
      </c>
      <c r="I14" s="133" t="s">
        <v>36</v>
      </c>
      <c r="J14" s="133"/>
      <c r="K14" s="134" t="s">
        <v>300</v>
      </c>
      <c r="L14" s="5" t="s">
        <v>1070</v>
      </c>
      <c r="M14" s="2" t="s">
        <v>1013</v>
      </c>
      <c r="N14" s="2" t="s">
        <v>1013</v>
      </c>
      <c r="O14" s="2" t="s">
        <v>1014</v>
      </c>
      <c r="P14" s="135" t="s">
        <v>1036</v>
      </c>
      <c r="Q14" s="18"/>
      <c r="R14" s="18"/>
      <c r="S14" s="18"/>
      <c r="T14" s="18"/>
      <c r="U14" s="18"/>
      <c r="V14" s="18"/>
      <c r="W14" s="18"/>
      <c r="X14" s="18"/>
      <c r="Y14" s="18"/>
    </row>
    <row r="15" spans="1:26" ht="14.25" customHeight="1" x14ac:dyDescent="0.35">
      <c r="A15" s="120">
        <v>46006</v>
      </c>
      <c r="B15" s="105">
        <v>9804</v>
      </c>
      <c r="C15" s="105" t="s">
        <v>21</v>
      </c>
      <c r="D15" s="105" t="s">
        <v>988</v>
      </c>
      <c r="E15" s="107">
        <v>45979</v>
      </c>
      <c r="F15" s="108">
        <v>62006</v>
      </c>
      <c r="G15" s="81">
        <f>((F15)*1.5)+1816.5+5750</f>
        <v>100575.5</v>
      </c>
      <c r="H15" s="105" t="s">
        <v>983</v>
      </c>
      <c r="I15" s="106" t="s">
        <v>36</v>
      </c>
      <c r="J15" s="106">
        <v>3488776</v>
      </c>
      <c r="K15" s="107"/>
      <c r="L15" s="5" t="s">
        <v>1145</v>
      </c>
      <c r="M15" s="17">
        <v>46012</v>
      </c>
      <c r="N15" s="5">
        <f t="shared" ref="N15:N20" si="0">M15-E15</f>
        <v>33</v>
      </c>
      <c r="O15" s="20" t="s">
        <v>591</v>
      </c>
      <c r="P15" s="3" t="s">
        <v>1018</v>
      </c>
      <c r="Q15" s="18"/>
      <c r="R15" s="18"/>
      <c r="S15" s="18"/>
      <c r="T15" s="18"/>
      <c r="U15" s="18"/>
      <c r="V15" s="18"/>
      <c r="W15" s="18"/>
      <c r="X15" s="18"/>
      <c r="Y15" s="18"/>
    </row>
    <row r="16" spans="1:26" ht="14.25" customHeight="1" x14ac:dyDescent="0.35">
      <c r="A16" s="120">
        <v>46004</v>
      </c>
      <c r="B16" s="110">
        <v>15058</v>
      </c>
      <c r="C16" s="14" t="s">
        <v>11</v>
      </c>
      <c r="D16" s="110" t="s">
        <v>1085</v>
      </c>
      <c r="E16" s="112">
        <v>46001</v>
      </c>
      <c r="F16" s="114">
        <v>59785</v>
      </c>
      <c r="G16" s="16">
        <f>((F16-1500)*1.45)+1500+11250</f>
        <v>97263.25</v>
      </c>
      <c r="H16" s="110" t="s">
        <v>964</v>
      </c>
      <c r="I16" s="111" t="s">
        <v>14</v>
      </c>
      <c r="J16" s="111">
        <v>3484871</v>
      </c>
      <c r="K16" s="134"/>
      <c r="L16" s="5" t="s">
        <v>1140</v>
      </c>
      <c r="M16" s="17">
        <v>46007</v>
      </c>
      <c r="N16" s="5">
        <f t="shared" si="0"/>
        <v>6</v>
      </c>
      <c r="O16" s="6"/>
      <c r="P16" s="3" t="s">
        <v>1018</v>
      </c>
      <c r="Q16" s="18"/>
      <c r="R16" s="18"/>
      <c r="S16" s="18"/>
      <c r="T16" s="18"/>
      <c r="U16" s="18"/>
      <c r="V16" s="18"/>
      <c r="W16" s="18"/>
      <c r="X16" s="18"/>
      <c r="Y16" s="18"/>
    </row>
    <row r="17" spans="1:26" ht="14.25" customHeight="1" x14ac:dyDescent="0.35">
      <c r="A17" s="120">
        <v>46002</v>
      </c>
      <c r="B17" s="78">
        <v>28654</v>
      </c>
      <c r="C17" s="78" t="s">
        <v>57</v>
      </c>
      <c r="D17" s="78" t="s">
        <v>58</v>
      </c>
      <c r="E17" s="80">
        <v>45915</v>
      </c>
      <c r="F17" s="81">
        <v>101539</v>
      </c>
      <c r="G17" s="81">
        <f>((F17-4946)*1.45)+4946+11250</f>
        <v>156255.85</v>
      </c>
      <c r="H17" s="142" t="s">
        <v>1054</v>
      </c>
      <c r="I17" s="143" t="s">
        <v>14</v>
      </c>
      <c r="J17" s="143">
        <v>3503030</v>
      </c>
      <c r="K17" s="144"/>
      <c r="L17" s="5"/>
      <c r="M17" s="17">
        <v>46007</v>
      </c>
      <c r="N17" s="5">
        <f t="shared" si="0"/>
        <v>92</v>
      </c>
      <c r="O17" s="6"/>
      <c r="P17" s="5" t="s">
        <v>1017</v>
      </c>
      <c r="Q17" s="18"/>
      <c r="R17" s="18"/>
      <c r="S17" s="18"/>
      <c r="T17" s="18"/>
      <c r="U17" s="18"/>
      <c r="V17" s="18"/>
      <c r="W17" s="18"/>
      <c r="X17" s="18"/>
      <c r="Y17" s="18"/>
    </row>
    <row r="18" spans="1:26" ht="14.25" customHeight="1" x14ac:dyDescent="0.35">
      <c r="A18" s="120">
        <v>46002</v>
      </c>
      <c r="B18" s="78">
        <v>32757</v>
      </c>
      <c r="C18" s="79" t="s">
        <v>32</v>
      </c>
      <c r="D18" s="78" t="s">
        <v>40</v>
      </c>
      <c r="E18" s="80">
        <v>45884</v>
      </c>
      <c r="F18" s="81">
        <v>60192</v>
      </c>
      <c r="G18" s="81">
        <f>((F18)*1.45)+2145.8+5250</f>
        <v>94674.2</v>
      </c>
      <c r="H18" s="79" t="s">
        <v>1049</v>
      </c>
      <c r="I18" s="79" t="s">
        <v>36</v>
      </c>
      <c r="J18" s="131">
        <v>3503008</v>
      </c>
      <c r="K18" s="80"/>
      <c r="L18" s="5" t="s">
        <v>1135</v>
      </c>
      <c r="M18" s="17">
        <v>46008</v>
      </c>
      <c r="N18" s="5">
        <f t="shared" si="0"/>
        <v>124</v>
      </c>
      <c r="O18" s="153" t="s">
        <v>615</v>
      </c>
      <c r="P18" s="5" t="s">
        <v>1017</v>
      </c>
      <c r="Q18" s="18"/>
      <c r="R18" s="18"/>
      <c r="S18" s="18"/>
      <c r="T18" s="18"/>
      <c r="U18" s="18"/>
      <c r="V18" s="18"/>
      <c r="W18" s="18"/>
      <c r="X18" s="18"/>
      <c r="Y18" s="18"/>
    </row>
    <row r="19" spans="1:26" ht="14.25" customHeight="1" x14ac:dyDescent="0.35">
      <c r="A19" s="120">
        <v>45999</v>
      </c>
      <c r="B19" s="78">
        <v>2177</v>
      </c>
      <c r="C19" s="79" t="s">
        <v>21</v>
      </c>
      <c r="D19" s="78" t="s">
        <v>22</v>
      </c>
      <c r="E19" s="80">
        <v>45896</v>
      </c>
      <c r="F19" s="81">
        <v>63001</v>
      </c>
      <c r="G19" s="81">
        <f>((F19)*1.5)+3082+11250</f>
        <v>108833.5</v>
      </c>
      <c r="H19" s="110" t="s">
        <v>547</v>
      </c>
      <c r="I19" s="111" t="s">
        <v>14</v>
      </c>
      <c r="J19" s="111">
        <v>3502149</v>
      </c>
      <c r="K19" s="134"/>
      <c r="L19" s="43" t="s">
        <v>1128</v>
      </c>
      <c r="M19" s="17">
        <v>46002</v>
      </c>
      <c r="N19" s="5">
        <f t="shared" si="0"/>
        <v>106</v>
      </c>
      <c r="O19" s="20" t="s">
        <v>25</v>
      </c>
      <c r="P19" s="6"/>
      <c r="Q19" s="18"/>
      <c r="R19" s="18"/>
      <c r="S19" s="18"/>
      <c r="T19" s="18"/>
      <c r="U19" s="18"/>
      <c r="V19" s="18"/>
      <c r="W19" s="18"/>
      <c r="X19" s="18"/>
      <c r="Y19" s="18"/>
    </row>
    <row r="20" spans="1:26" ht="14.25" customHeight="1" x14ac:dyDescent="0.35">
      <c r="A20" s="120" t="s">
        <v>1109</v>
      </c>
      <c r="B20" s="105">
        <v>28778</v>
      </c>
      <c r="C20" s="105" t="s">
        <v>57</v>
      </c>
      <c r="D20" s="105" t="s">
        <v>949</v>
      </c>
      <c r="E20" s="107">
        <v>45986</v>
      </c>
      <c r="F20" s="81">
        <v>82745</v>
      </c>
      <c r="G20" s="81">
        <f>((F20-4940)*1.45)+4940+11250</f>
        <v>129007.25</v>
      </c>
      <c r="H20" s="105" t="s">
        <v>991</v>
      </c>
      <c r="I20" s="106" t="s">
        <v>14</v>
      </c>
      <c r="J20" s="106">
        <v>3491575</v>
      </c>
      <c r="K20" s="107"/>
      <c r="L20" s="5"/>
      <c r="M20" s="17">
        <v>46001</v>
      </c>
      <c r="N20" s="5">
        <f t="shared" si="0"/>
        <v>15</v>
      </c>
      <c r="O20" s="3" t="s">
        <v>1018</v>
      </c>
      <c r="P20" s="6"/>
      <c r="Q20" s="18"/>
      <c r="R20" s="18"/>
      <c r="S20" s="18"/>
      <c r="T20" s="18"/>
      <c r="U20" s="18"/>
      <c r="V20" s="18"/>
      <c r="W20" s="18"/>
      <c r="X20" s="18"/>
      <c r="Y20" s="18"/>
    </row>
    <row r="21" spans="1:26" ht="14.25" customHeight="1" x14ac:dyDescent="0.35">
      <c r="A21" s="104"/>
      <c r="B21" s="105"/>
      <c r="C21" s="106"/>
      <c r="D21" s="105"/>
      <c r="E21" s="107"/>
      <c r="F21" s="108"/>
      <c r="G21" s="108"/>
      <c r="H21" s="106"/>
      <c r="I21" s="105"/>
      <c r="J21" s="121"/>
      <c r="K21" s="107"/>
      <c r="L21" s="3"/>
      <c r="M21" s="11"/>
      <c r="N21" s="5"/>
      <c r="O21" s="5"/>
      <c r="P21" s="6"/>
      <c r="Q21" s="7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 x14ac:dyDescent="0.35">
      <c r="A22" s="138" t="s">
        <v>1091</v>
      </c>
      <c r="B22" s="78">
        <v>1527</v>
      </c>
      <c r="C22" s="79" t="s">
        <v>972</v>
      </c>
      <c r="D22" s="78" t="s">
        <v>1069</v>
      </c>
      <c r="E22" s="80" t="s">
        <v>973</v>
      </c>
      <c r="F22" s="131" t="s">
        <v>1005</v>
      </c>
      <c r="G22" s="81">
        <v>6000</v>
      </c>
      <c r="H22" s="79" t="s">
        <v>1093</v>
      </c>
      <c r="I22" s="79"/>
      <c r="J22" s="140"/>
      <c r="K22" s="140"/>
      <c r="L22" s="5" t="s">
        <v>1058</v>
      </c>
      <c r="M22" s="2" t="s">
        <v>1013</v>
      </c>
      <c r="N22" s="2" t="s">
        <v>1013</v>
      </c>
      <c r="O22" s="2" t="s">
        <v>1013</v>
      </c>
      <c r="P22" s="2" t="s">
        <v>1092</v>
      </c>
      <c r="Q22" s="3"/>
      <c r="R22" s="18"/>
      <c r="S22" s="18"/>
      <c r="T22" s="18"/>
      <c r="U22" s="18"/>
      <c r="V22" s="18"/>
      <c r="W22" s="18"/>
      <c r="X22" s="18"/>
      <c r="Y22" s="18"/>
    </row>
    <row r="23" spans="1:26" ht="14.25" customHeight="1" x14ac:dyDescent="0.35">
      <c r="A23" s="120">
        <v>45985</v>
      </c>
      <c r="B23" s="78">
        <v>25477</v>
      </c>
      <c r="C23" s="79" t="s">
        <v>11</v>
      </c>
      <c r="D23" s="78" t="s">
        <v>1019</v>
      </c>
      <c r="E23" s="80">
        <v>45866</v>
      </c>
      <c r="F23" s="81">
        <v>41711</v>
      </c>
      <c r="G23" s="81">
        <f>((F23-1730)*1.45)+1730+5750</f>
        <v>65452.45</v>
      </c>
      <c r="H23" s="78" t="s">
        <v>1015</v>
      </c>
      <c r="I23" s="79" t="s">
        <v>212</v>
      </c>
      <c r="J23" s="79">
        <v>3449939</v>
      </c>
      <c r="K23" s="80"/>
      <c r="L23" s="5"/>
      <c r="M23" s="17">
        <v>45986</v>
      </c>
      <c r="N23" s="5">
        <f>M23-E23</f>
        <v>120</v>
      </c>
      <c r="O23" s="5" t="s">
        <v>1017</v>
      </c>
      <c r="P23" s="6"/>
      <c r="Q23" s="18"/>
      <c r="R23" s="18"/>
      <c r="S23" s="18"/>
      <c r="T23" s="18"/>
      <c r="U23" s="18"/>
      <c r="V23" s="18"/>
      <c r="W23" s="18"/>
      <c r="X23" s="18"/>
      <c r="Y23" s="18"/>
    </row>
    <row r="24" spans="1:26" ht="14.25" customHeight="1" x14ac:dyDescent="0.35">
      <c r="A24" s="120">
        <v>45972</v>
      </c>
      <c r="B24" s="78">
        <v>1574</v>
      </c>
      <c r="C24" s="79" t="s">
        <v>21</v>
      </c>
      <c r="D24" s="79" t="s">
        <v>26</v>
      </c>
      <c r="E24" s="80">
        <v>45580</v>
      </c>
      <c r="F24" s="115">
        <v>77114</v>
      </c>
      <c r="G24" s="81">
        <f>((F24)*1.5)+3082+11250</f>
        <v>130003</v>
      </c>
      <c r="H24" s="100" t="s">
        <v>85</v>
      </c>
      <c r="I24" s="101" t="s">
        <v>36</v>
      </c>
      <c r="J24" s="101">
        <v>3397786</v>
      </c>
      <c r="K24" s="102"/>
      <c r="L24" s="5" t="s">
        <v>1075</v>
      </c>
      <c r="M24" s="17">
        <v>45975</v>
      </c>
      <c r="N24" s="5">
        <f>M24-E24</f>
        <v>395</v>
      </c>
      <c r="O24" s="90" t="s">
        <v>25</v>
      </c>
      <c r="P24" s="7" t="s">
        <v>1076</v>
      </c>
      <c r="Q24" s="18"/>
      <c r="R24" s="18"/>
      <c r="S24" s="18"/>
      <c r="T24" s="18"/>
      <c r="U24" s="18"/>
      <c r="V24" s="18"/>
      <c r="W24" s="18"/>
      <c r="X24" s="18"/>
      <c r="Y24" s="18"/>
    </row>
    <row r="25" spans="1:26" ht="14.25" customHeight="1" x14ac:dyDescent="0.35">
      <c r="A25" s="120">
        <v>45978</v>
      </c>
      <c r="B25" s="78">
        <v>9551</v>
      </c>
      <c r="C25" s="79" t="s">
        <v>21</v>
      </c>
      <c r="D25" s="78" t="s">
        <v>46</v>
      </c>
      <c r="E25" s="80">
        <v>45909</v>
      </c>
      <c r="F25" s="81">
        <v>57778</v>
      </c>
      <c r="G25" s="81">
        <f>((F25)*1.5)+1816.5+5750</f>
        <v>94233.5</v>
      </c>
      <c r="H25" s="79" t="s">
        <v>1042</v>
      </c>
      <c r="I25" s="79" t="s">
        <v>36</v>
      </c>
      <c r="J25" s="131">
        <v>3498732</v>
      </c>
      <c r="K25" s="80"/>
      <c r="L25" s="5" t="s">
        <v>1079</v>
      </c>
      <c r="M25" s="17">
        <v>45980</v>
      </c>
      <c r="N25" s="5">
        <f>M25-E25</f>
        <v>71</v>
      </c>
      <c r="O25" s="136" t="s">
        <v>591</v>
      </c>
      <c r="P25" s="6"/>
      <c r="Q25" s="18"/>
      <c r="R25" s="18"/>
      <c r="S25" s="18"/>
      <c r="T25" s="18"/>
      <c r="U25" s="18"/>
      <c r="V25" s="18"/>
      <c r="W25" s="18"/>
      <c r="X25" s="18"/>
      <c r="Y25" s="18"/>
    </row>
    <row r="26" spans="1:26" ht="14.25" customHeight="1" x14ac:dyDescent="0.35">
      <c r="A26" s="120">
        <v>45972</v>
      </c>
      <c r="B26" s="13">
        <v>14084</v>
      </c>
      <c r="C26" s="14" t="s">
        <v>11</v>
      </c>
      <c r="D26" s="13" t="s">
        <v>37</v>
      </c>
      <c r="E26" s="15">
        <v>45785</v>
      </c>
      <c r="F26" s="16">
        <v>52312</v>
      </c>
      <c r="G26" s="16">
        <f>((F26-3454)*1.45)+3454+11250</f>
        <v>85548.099999999991</v>
      </c>
      <c r="H26" s="13" t="s">
        <v>38</v>
      </c>
      <c r="I26" s="14" t="s">
        <v>31</v>
      </c>
      <c r="J26" s="14">
        <v>3369674</v>
      </c>
      <c r="K26" s="15"/>
      <c r="L26" s="3" t="s">
        <v>1071</v>
      </c>
      <c r="M26" s="17">
        <v>45950</v>
      </c>
      <c r="N26" s="5">
        <f>M26-E26</f>
        <v>165</v>
      </c>
      <c r="O26" s="5" t="s">
        <v>1017</v>
      </c>
      <c r="P26" s="6"/>
      <c r="Q26" s="18"/>
      <c r="R26" s="18"/>
      <c r="S26" s="18"/>
      <c r="T26" s="18"/>
      <c r="U26" s="18"/>
      <c r="V26" s="18"/>
      <c r="W26" s="18"/>
      <c r="X26" s="18"/>
      <c r="Y26" s="18"/>
    </row>
    <row r="27" spans="1:26" ht="14.25" customHeight="1" x14ac:dyDescent="0.35">
      <c r="A27" s="120">
        <v>45965</v>
      </c>
      <c r="B27" s="100">
        <v>31135</v>
      </c>
      <c r="C27" s="101" t="s">
        <v>57</v>
      </c>
      <c r="D27" s="100" t="s">
        <v>549</v>
      </c>
      <c r="E27" s="102">
        <v>45961</v>
      </c>
      <c r="F27" s="103">
        <v>73963</v>
      </c>
      <c r="G27" s="81">
        <f>((F27-4946)*1.45)+4946+11250</f>
        <v>116270.65</v>
      </c>
      <c r="H27" s="100" t="s">
        <v>72</v>
      </c>
      <c r="I27" s="101" t="s">
        <v>14</v>
      </c>
      <c r="J27" s="101">
        <v>3475936</v>
      </c>
      <c r="K27" s="102"/>
      <c r="L27" s="5"/>
      <c r="M27" s="17">
        <v>45967</v>
      </c>
      <c r="N27" s="5">
        <f>M27-E27</f>
        <v>6</v>
      </c>
      <c r="O27" s="6" t="s">
        <v>1017</v>
      </c>
      <c r="P27" s="6"/>
      <c r="Q27" s="18"/>
      <c r="R27" s="18"/>
      <c r="S27" s="18"/>
      <c r="T27" s="18"/>
      <c r="U27" s="18"/>
      <c r="V27" s="18"/>
      <c r="W27" s="18"/>
      <c r="X27" s="18"/>
      <c r="Y27" s="18"/>
    </row>
    <row r="28" spans="1:26" ht="14.25" customHeight="1" x14ac:dyDescent="0.35">
      <c r="A28" s="104"/>
      <c r="B28" s="105"/>
      <c r="C28" s="106"/>
      <c r="D28" s="105"/>
      <c r="E28" s="107"/>
      <c r="F28" s="108"/>
      <c r="G28" s="108"/>
      <c r="H28" s="106"/>
      <c r="I28" s="105"/>
      <c r="J28" s="121"/>
      <c r="K28" s="107"/>
      <c r="L28" s="3"/>
      <c r="M28" s="11"/>
      <c r="N28" s="5"/>
      <c r="O28" s="5"/>
      <c r="P28" s="6"/>
      <c r="Q28" s="7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 x14ac:dyDescent="0.35">
      <c r="A29" s="138" t="s">
        <v>34</v>
      </c>
      <c r="B29" s="91">
        <v>5780</v>
      </c>
      <c r="C29" s="92" t="s">
        <v>972</v>
      </c>
      <c r="D29" s="91" t="s">
        <v>971</v>
      </c>
      <c r="E29" s="93" t="s">
        <v>973</v>
      </c>
      <c r="F29" s="126" t="s">
        <v>1004</v>
      </c>
      <c r="G29" s="97">
        <v>0</v>
      </c>
      <c r="H29" s="92" t="s">
        <v>1048</v>
      </c>
      <c r="I29" s="92"/>
      <c r="J29" s="94"/>
      <c r="K29" s="94"/>
      <c r="L29" s="92" t="s">
        <v>974</v>
      </c>
      <c r="M29" s="2" t="s">
        <v>1013</v>
      </c>
      <c r="N29" s="2" t="s">
        <v>1013</v>
      </c>
      <c r="O29" s="2" t="s">
        <v>1013</v>
      </c>
      <c r="P29" s="2"/>
      <c r="Q29" s="18"/>
      <c r="R29" s="18"/>
      <c r="S29" s="18"/>
      <c r="T29" s="18"/>
      <c r="U29" s="18"/>
      <c r="V29" s="18"/>
      <c r="W29" s="18"/>
      <c r="X29" s="18"/>
      <c r="Y29" s="18"/>
    </row>
    <row r="30" spans="1:26" ht="14.25" customHeight="1" x14ac:dyDescent="0.35">
      <c r="A30" s="120">
        <v>45953</v>
      </c>
      <c r="B30" s="13">
        <v>25946</v>
      </c>
      <c r="C30" s="14" t="s">
        <v>11</v>
      </c>
      <c r="D30" s="13" t="s">
        <v>63</v>
      </c>
      <c r="E30" s="15">
        <v>45954</v>
      </c>
      <c r="F30" s="16">
        <v>74215</v>
      </c>
      <c r="G30" s="16">
        <f>((F30-3459)*1.45)+3459+11250</f>
        <v>117305.2</v>
      </c>
      <c r="H30" s="13" t="s">
        <v>64</v>
      </c>
      <c r="I30" s="14" t="s">
        <v>14</v>
      </c>
      <c r="J30" s="14">
        <v>3472391</v>
      </c>
      <c r="K30" s="102"/>
      <c r="L30" s="5" t="s">
        <v>1051</v>
      </c>
      <c r="M30" s="17">
        <v>45955</v>
      </c>
      <c r="N30" s="5">
        <f>M30-E30</f>
        <v>1</v>
      </c>
      <c r="O30" s="6"/>
      <c r="P30" s="6"/>
      <c r="Q30" s="18"/>
      <c r="R30" s="18"/>
      <c r="S30" s="18"/>
      <c r="T30" s="18"/>
      <c r="U30" s="18"/>
      <c r="V30" s="18"/>
      <c r="W30" s="18"/>
      <c r="X30" s="18"/>
      <c r="Y30" s="18"/>
    </row>
    <row r="31" spans="1:26" ht="13.5" customHeight="1" x14ac:dyDescent="0.35">
      <c r="A31" s="120">
        <v>45951</v>
      </c>
      <c r="B31" s="13">
        <v>9692</v>
      </c>
      <c r="C31" s="79" t="s">
        <v>21</v>
      </c>
      <c r="D31" s="78" t="s">
        <v>46</v>
      </c>
      <c r="E31" s="102">
        <v>45946</v>
      </c>
      <c r="F31" s="81">
        <v>58928</v>
      </c>
      <c r="G31" s="81">
        <f>((F31)*1.5)+1816.5+5750</f>
        <v>95958.5</v>
      </c>
      <c r="H31" s="100" t="s">
        <v>989</v>
      </c>
      <c r="I31" s="101" t="s">
        <v>14</v>
      </c>
      <c r="J31" s="101">
        <v>3461642</v>
      </c>
      <c r="K31" s="102"/>
      <c r="L31" s="5" t="s">
        <v>1018</v>
      </c>
      <c r="M31" s="17">
        <v>45953</v>
      </c>
      <c r="N31" s="5">
        <f>M31-E31</f>
        <v>7</v>
      </c>
      <c r="O31" s="20" t="s">
        <v>591</v>
      </c>
      <c r="P31" s="6"/>
      <c r="Q31" s="18"/>
      <c r="R31" s="18"/>
      <c r="S31" s="18"/>
      <c r="T31" s="18"/>
      <c r="U31" s="18"/>
      <c r="V31" s="18"/>
      <c r="W31" s="18"/>
      <c r="X31" s="18"/>
      <c r="Y31" s="18"/>
    </row>
    <row r="32" spans="1:26" ht="14.25" customHeight="1" x14ac:dyDescent="0.35">
      <c r="A32" s="120">
        <v>45952</v>
      </c>
      <c r="B32" s="13">
        <v>7049</v>
      </c>
      <c r="C32" s="13" t="s">
        <v>53</v>
      </c>
      <c r="D32" s="13" t="s">
        <v>54</v>
      </c>
      <c r="E32" s="19" t="s">
        <v>55</v>
      </c>
      <c r="F32" s="19" t="s">
        <v>56</v>
      </c>
      <c r="G32" s="16">
        <v>29000</v>
      </c>
      <c r="H32" s="13" t="s">
        <v>967</v>
      </c>
      <c r="I32" s="14" t="s">
        <v>31</v>
      </c>
      <c r="J32" s="14"/>
      <c r="K32" s="15"/>
      <c r="L32" s="3" t="s">
        <v>1052</v>
      </c>
      <c r="M32" s="2" t="s">
        <v>1013</v>
      </c>
      <c r="N32" s="2" t="s">
        <v>1013</v>
      </c>
      <c r="O32" s="2" t="s">
        <v>1013</v>
      </c>
      <c r="P32" s="2"/>
      <c r="Q32" s="3" t="s">
        <v>1041</v>
      </c>
      <c r="R32" s="18"/>
      <c r="S32" s="18"/>
      <c r="T32" s="18"/>
      <c r="U32" s="18"/>
      <c r="V32" s="18"/>
      <c r="W32" s="18"/>
      <c r="X32" s="18"/>
      <c r="Y32" s="18"/>
    </row>
    <row r="33" spans="1:26" ht="14.25" customHeight="1" x14ac:dyDescent="0.35">
      <c r="A33" s="120">
        <v>45943</v>
      </c>
      <c r="B33" s="110">
        <v>17649</v>
      </c>
      <c r="C33" s="111" t="s">
        <v>11</v>
      </c>
      <c r="D33" s="110" t="s">
        <v>47</v>
      </c>
      <c r="E33" s="112" t="s">
        <v>969</v>
      </c>
      <c r="F33" s="113" t="s">
        <v>48</v>
      </c>
      <c r="G33" s="114">
        <v>40000</v>
      </c>
      <c r="H33" s="101" t="s">
        <v>74</v>
      </c>
      <c r="I33" s="101" t="s">
        <v>14</v>
      </c>
      <c r="J33" s="123" t="s">
        <v>300</v>
      </c>
      <c r="K33" s="102"/>
      <c r="L33" s="3" t="s">
        <v>1023</v>
      </c>
      <c r="M33" s="5"/>
      <c r="N33" s="5"/>
      <c r="O33" s="6"/>
      <c r="P33" s="6"/>
      <c r="Q33" s="18"/>
      <c r="R33" s="18"/>
      <c r="S33" s="18"/>
      <c r="T33" s="18"/>
      <c r="U33" s="18"/>
      <c r="V33" s="18"/>
      <c r="W33" s="18"/>
      <c r="X33" s="18"/>
      <c r="Y33" s="18"/>
    </row>
    <row r="34" spans="1:26" ht="14.25" customHeight="1" x14ac:dyDescent="0.35">
      <c r="A34" s="120">
        <v>45945</v>
      </c>
      <c r="B34" s="78">
        <v>4870</v>
      </c>
      <c r="C34" s="79" t="s">
        <v>41</v>
      </c>
      <c r="D34" s="78" t="s">
        <v>1021</v>
      </c>
      <c r="E34" s="80">
        <v>45890</v>
      </c>
      <c r="F34" s="81">
        <v>137429.20000000001</v>
      </c>
      <c r="G34" s="81">
        <f>((F34-4000)*1.5)+4000+11250</f>
        <v>215393.80000000002</v>
      </c>
      <c r="H34" s="78" t="s">
        <v>43</v>
      </c>
      <c r="I34" s="79" t="s">
        <v>14</v>
      </c>
      <c r="J34" s="79">
        <v>3466860</v>
      </c>
      <c r="K34" s="15" t="s">
        <v>15</v>
      </c>
      <c r="L34" s="5" t="s">
        <v>1118</v>
      </c>
      <c r="M34" s="17">
        <v>45950</v>
      </c>
      <c r="N34" s="5">
        <f>M34-E34</f>
        <v>60</v>
      </c>
      <c r="O34" s="6"/>
      <c r="P34" s="6"/>
      <c r="Q34" s="18"/>
      <c r="R34" s="18"/>
      <c r="S34" s="18"/>
      <c r="T34" s="18"/>
      <c r="U34" s="18"/>
      <c r="V34" s="18"/>
      <c r="W34" s="18"/>
      <c r="X34" s="18"/>
      <c r="Y34" s="18"/>
    </row>
    <row r="35" spans="1:26" ht="14.25" customHeight="1" x14ac:dyDescent="0.35">
      <c r="A35" s="120">
        <v>45943</v>
      </c>
      <c r="B35" s="13">
        <v>13963</v>
      </c>
      <c r="C35" s="14" t="s">
        <v>11</v>
      </c>
      <c r="D35" s="13" t="s">
        <v>30</v>
      </c>
      <c r="E35" s="15">
        <v>45755</v>
      </c>
      <c r="F35" s="16">
        <v>56748</v>
      </c>
      <c r="G35" s="16">
        <f>((F35-3469)*1.45)+3469+11250</f>
        <v>91973.55</v>
      </c>
      <c r="H35" s="13" t="s">
        <v>990</v>
      </c>
      <c r="I35" s="14" t="s">
        <v>31</v>
      </c>
      <c r="J35" s="19">
        <v>3482093</v>
      </c>
      <c r="K35" s="15"/>
      <c r="L35" s="5" t="s">
        <v>1025</v>
      </c>
      <c r="M35" s="17">
        <v>45944</v>
      </c>
      <c r="N35" s="5">
        <f>M35-E35</f>
        <v>189</v>
      </c>
      <c r="O35" s="6"/>
      <c r="P35" s="6"/>
      <c r="Q35" s="18"/>
      <c r="R35" s="18"/>
      <c r="S35" s="18"/>
      <c r="T35" s="18"/>
      <c r="U35" s="18"/>
      <c r="V35" s="18"/>
      <c r="W35" s="18"/>
      <c r="X35" s="18"/>
      <c r="Y35" s="18"/>
    </row>
    <row r="36" spans="1:26" ht="14.25" customHeight="1" x14ac:dyDescent="0.35">
      <c r="A36" s="120">
        <v>45932</v>
      </c>
      <c r="B36" s="13">
        <v>14081</v>
      </c>
      <c r="C36" s="14" t="s">
        <v>11</v>
      </c>
      <c r="D36" s="13" t="s">
        <v>12</v>
      </c>
      <c r="E36" s="15">
        <v>45784</v>
      </c>
      <c r="F36" s="16">
        <v>71053</v>
      </c>
      <c r="G36" s="16">
        <f>((F36-3459)*1.45)+3459+11250</f>
        <v>112720.3</v>
      </c>
      <c r="H36" s="14" t="s">
        <v>35</v>
      </c>
      <c r="I36" s="14" t="s">
        <v>36</v>
      </c>
      <c r="J36" s="19">
        <v>3452390</v>
      </c>
      <c r="K36" s="15"/>
      <c r="L36" s="5" t="s">
        <v>993</v>
      </c>
      <c r="M36" s="17">
        <v>45868</v>
      </c>
      <c r="N36" s="5">
        <f>M36-E36</f>
        <v>84</v>
      </c>
      <c r="O36" s="6"/>
      <c r="P36" s="6"/>
      <c r="Q36" s="18"/>
      <c r="R36" s="18"/>
      <c r="S36" s="18"/>
      <c r="T36" s="18"/>
      <c r="U36" s="18"/>
      <c r="V36" s="18"/>
      <c r="W36" s="18"/>
      <c r="X36" s="18"/>
      <c r="Y36" s="18"/>
    </row>
    <row r="37" spans="1:26" ht="14.25" customHeight="1" x14ac:dyDescent="0.35">
      <c r="A37" s="104"/>
      <c r="B37" s="105"/>
      <c r="C37" s="106"/>
      <c r="D37" s="105"/>
      <c r="E37" s="107"/>
      <c r="F37" s="108"/>
      <c r="G37" s="108"/>
      <c r="H37" s="106"/>
      <c r="I37" s="105"/>
      <c r="J37" s="121"/>
      <c r="K37" s="107"/>
      <c r="L37" s="3"/>
      <c r="M37" s="11"/>
      <c r="N37" s="5"/>
      <c r="O37" s="5"/>
      <c r="P37" s="6"/>
      <c r="Q37" s="7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 x14ac:dyDescent="0.35">
      <c r="A38" s="12">
        <v>45918</v>
      </c>
      <c r="B38" s="13">
        <v>23812</v>
      </c>
      <c r="C38" s="14" t="s">
        <v>11</v>
      </c>
      <c r="D38" s="13" t="s">
        <v>27</v>
      </c>
      <c r="E38" s="15">
        <v>45597</v>
      </c>
      <c r="F38" s="16">
        <v>32412</v>
      </c>
      <c r="G38" s="16">
        <f>((F38-1730)*1.5)+1730+5750</f>
        <v>53503</v>
      </c>
      <c r="H38" s="14" t="s">
        <v>28</v>
      </c>
      <c r="I38" s="14" t="s">
        <v>14</v>
      </c>
      <c r="J38" s="19">
        <v>3470880</v>
      </c>
      <c r="K38" s="15"/>
      <c r="L38" s="3" t="s">
        <v>987</v>
      </c>
      <c r="M38" s="17">
        <v>45922</v>
      </c>
      <c r="N38" s="5">
        <f>M38-E38</f>
        <v>325</v>
      </c>
      <c r="O38" s="6"/>
      <c r="P38" s="6"/>
      <c r="Q38" s="18"/>
      <c r="R38" s="18"/>
      <c r="S38" s="18"/>
      <c r="T38" s="18"/>
      <c r="U38" s="18"/>
      <c r="V38" s="18"/>
      <c r="W38" s="18"/>
      <c r="X38" s="18"/>
      <c r="Y38" s="18"/>
    </row>
    <row r="39" spans="1:26" ht="14.25" customHeight="1" x14ac:dyDescent="0.35">
      <c r="A39" s="12">
        <v>45908</v>
      </c>
      <c r="B39" s="13">
        <v>1609</v>
      </c>
      <c r="C39" s="14" t="s">
        <v>21</v>
      </c>
      <c r="D39" s="13" t="s">
        <v>568</v>
      </c>
      <c r="E39" s="15">
        <v>45600</v>
      </c>
      <c r="F39" s="16">
        <v>67591</v>
      </c>
      <c r="G39" s="16">
        <f>((F39)*1.5)+3082+11250</f>
        <v>115718.5</v>
      </c>
      <c r="H39" s="13" t="s">
        <v>569</v>
      </c>
      <c r="I39" s="14" t="s">
        <v>14</v>
      </c>
      <c r="J39" s="14">
        <v>3473846</v>
      </c>
      <c r="K39" s="15"/>
      <c r="L39" s="3" t="s">
        <v>570</v>
      </c>
      <c r="M39" s="17">
        <v>45911</v>
      </c>
      <c r="N39" s="5">
        <f>M39-E39</f>
        <v>311</v>
      </c>
      <c r="O39" s="20" t="s">
        <v>25</v>
      </c>
      <c r="P39" s="7"/>
      <c r="Q39" s="18"/>
      <c r="R39" s="18"/>
      <c r="S39" s="18"/>
      <c r="T39" s="18"/>
      <c r="U39" s="18"/>
      <c r="V39" s="18"/>
      <c r="W39" s="18"/>
      <c r="X39" s="18"/>
      <c r="Y39" s="18"/>
    </row>
    <row r="40" spans="1:26" ht="14.25" customHeight="1" x14ac:dyDescent="0.35">
      <c r="A40" s="12"/>
      <c r="B40" s="13"/>
      <c r="C40" s="14"/>
      <c r="D40" s="13"/>
      <c r="E40" s="15"/>
      <c r="F40" s="16"/>
      <c r="G40" s="16"/>
      <c r="H40" s="14"/>
      <c r="I40" s="13"/>
      <c r="J40" s="19"/>
      <c r="K40" s="15"/>
      <c r="L40" s="3"/>
      <c r="M40" s="11"/>
      <c r="N40" s="5"/>
      <c r="O40" s="5"/>
      <c r="P40" s="6"/>
      <c r="Q40" s="7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 x14ac:dyDescent="0.35">
      <c r="A41" s="12">
        <v>45898</v>
      </c>
      <c r="B41" s="13">
        <v>1917</v>
      </c>
      <c r="C41" s="14" t="s">
        <v>572</v>
      </c>
      <c r="D41" s="13" t="s">
        <v>573</v>
      </c>
      <c r="E41" s="15">
        <v>45765</v>
      </c>
      <c r="F41" s="16">
        <v>101788</v>
      </c>
      <c r="G41" s="16">
        <f>((F41)*1.5)+3200+11250</f>
        <v>167132</v>
      </c>
      <c r="H41" s="13" t="s">
        <v>574</v>
      </c>
      <c r="I41" s="14" t="s">
        <v>14</v>
      </c>
      <c r="J41" s="14">
        <v>3464739</v>
      </c>
      <c r="K41" s="15"/>
      <c r="L41" s="3" t="s">
        <v>575</v>
      </c>
      <c r="M41" s="17">
        <v>45904</v>
      </c>
      <c r="N41" s="5">
        <f>M41-E41</f>
        <v>139</v>
      </c>
      <c r="O41" s="20" t="s">
        <v>576</v>
      </c>
      <c r="P41" s="6"/>
      <c r="Q41" s="18"/>
      <c r="R41" s="18"/>
      <c r="S41" s="18"/>
      <c r="T41" s="18"/>
      <c r="U41" s="18"/>
      <c r="V41" s="18"/>
      <c r="W41" s="18"/>
      <c r="X41" s="18"/>
      <c r="Y41" s="18"/>
    </row>
    <row r="42" spans="1:26" ht="14.25" customHeight="1" x14ac:dyDescent="0.35">
      <c r="A42" s="104"/>
      <c r="B42" s="105"/>
      <c r="C42" s="106"/>
      <c r="D42" s="105"/>
      <c r="E42" s="107"/>
      <c r="F42" s="108"/>
      <c r="G42" s="108"/>
      <c r="H42" s="105"/>
      <c r="I42" s="106"/>
      <c r="J42" s="106"/>
      <c r="K42" s="107"/>
      <c r="L42" s="3"/>
      <c r="M42" s="17"/>
      <c r="N42" s="5"/>
      <c r="O42" s="109"/>
      <c r="P42" s="6"/>
      <c r="Q42" s="18"/>
      <c r="R42" s="18"/>
      <c r="S42" s="18"/>
      <c r="T42" s="18"/>
      <c r="U42" s="18"/>
      <c r="V42" s="18"/>
      <c r="W42" s="18"/>
      <c r="X42" s="18"/>
      <c r="Y42" s="18"/>
    </row>
    <row r="43" spans="1:26" ht="14.25" customHeight="1" x14ac:dyDescent="0.35">
      <c r="A43" s="12">
        <v>45897</v>
      </c>
      <c r="B43" s="13">
        <v>2186</v>
      </c>
      <c r="C43" s="14" t="s">
        <v>21</v>
      </c>
      <c r="D43" s="13" t="s">
        <v>22</v>
      </c>
      <c r="E43" s="15">
        <v>45897</v>
      </c>
      <c r="F43" s="16">
        <v>63001</v>
      </c>
      <c r="G43" s="16">
        <f>((F43)*1.5)+3082+11250</f>
        <v>108833.5</v>
      </c>
      <c r="H43" s="13" t="s">
        <v>571</v>
      </c>
      <c r="I43" s="14" t="s">
        <v>14</v>
      </c>
      <c r="J43" s="14">
        <v>3460817</v>
      </c>
      <c r="K43" s="15"/>
      <c r="L43" s="5"/>
      <c r="M43" s="17">
        <v>45898</v>
      </c>
      <c r="N43" s="5">
        <f t="shared" ref="N43" si="1">M43-E43</f>
        <v>1</v>
      </c>
      <c r="O43" s="20" t="s">
        <v>25</v>
      </c>
      <c r="P43" s="6"/>
      <c r="Q43" s="18"/>
      <c r="R43" s="18"/>
      <c r="S43" s="18"/>
      <c r="T43" s="18"/>
      <c r="U43" s="18"/>
      <c r="V43" s="18"/>
      <c r="W43" s="18"/>
      <c r="X43" s="18"/>
      <c r="Y43" s="18"/>
    </row>
    <row r="44" spans="1:26" ht="14.25" customHeight="1" x14ac:dyDescent="0.35">
      <c r="A44" s="12">
        <v>45894</v>
      </c>
      <c r="B44" s="13">
        <v>14269</v>
      </c>
      <c r="C44" s="14" t="s">
        <v>11</v>
      </c>
      <c r="D44" s="13" t="s">
        <v>577</v>
      </c>
      <c r="E44" s="15">
        <v>45855</v>
      </c>
      <c r="F44" s="16">
        <v>52199</v>
      </c>
      <c r="G44" s="16">
        <f>((F44-3449)*1.45)+3449+11250</f>
        <v>85386.5</v>
      </c>
      <c r="H44" s="14" t="s">
        <v>578</v>
      </c>
      <c r="I44" s="14" t="s">
        <v>36</v>
      </c>
      <c r="J44" s="19" t="s">
        <v>579</v>
      </c>
      <c r="K44" s="15" t="s">
        <v>580</v>
      </c>
      <c r="L44" s="3" t="s">
        <v>581</v>
      </c>
      <c r="M44" s="5"/>
      <c r="N44" s="5"/>
      <c r="O44" s="6"/>
      <c r="P44" s="6"/>
      <c r="Q44" s="18"/>
      <c r="R44" s="18"/>
      <c r="S44" s="18"/>
      <c r="T44" s="18"/>
      <c r="U44" s="18"/>
      <c r="V44" s="18"/>
      <c r="W44" s="18"/>
      <c r="X44" s="18"/>
      <c r="Y44" s="18"/>
    </row>
    <row r="45" spans="1:26" ht="14.25" customHeight="1" x14ac:dyDescent="0.35">
      <c r="A45" s="12">
        <v>45890</v>
      </c>
      <c r="B45" s="13">
        <v>38169</v>
      </c>
      <c r="C45" s="13" t="s">
        <v>66</v>
      </c>
      <c r="D45" s="13" t="s">
        <v>67</v>
      </c>
      <c r="E45" s="15">
        <v>45772</v>
      </c>
      <c r="F45" s="16">
        <v>88824</v>
      </c>
      <c r="G45" s="16">
        <f>((F45-4350)*1.5)+4350+11250</f>
        <v>142311</v>
      </c>
      <c r="H45" s="13" t="s">
        <v>582</v>
      </c>
      <c r="I45" s="14" t="s">
        <v>14</v>
      </c>
      <c r="J45" s="14">
        <v>3466199</v>
      </c>
      <c r="K45" s="15"/>
      <c r="L45" s="3" t="s">
        <v>583</v>
      </c>
      <c r="M45" s="17">
        <v>45891</v>
      </c>
      <c r="N45" s="5">
        <f t="shared" ref="N45:N48" si="2">M45-E45</f>
        <v>119</v>
      </c>
      <c r="O45" s="6"/>
      <c r="P45" s="6"/>
      <c r="Q45" s="18"/>
      <c r="R45" s="18"/>
      <c r="S45" s="18"/>
      <c r="T45" s="18"/>
      <c r="U45" s="18"/>
      <c r="V45" s="18"/>
      <c r="W45" s="18"/>
      <c r="X45" s="18"/>
      <c r="Y45" s="18"/>
    </row>
    <row r="46" spans="1:26" ht="14.25" customHeight="1" x14ac:dyDescent="0.35">
      <c r="A46" s="12">
        <v>45889</v>
      </c>
      <c r="B46" s="13">
        <v>18046</v>
      </c>
      <c r="C46" s="14" t="s">
        <v>584</v>
      </c>
      <c r="D46" s="13" t="s">
        <v>585</v>
      </c>
      <c r="E46" s="15">
        <v>45882</v>
      </c>
      <c r="F46" s="16">
        <v>64625.5</v>
      </c>
      <c r="G46" s="16">
        <f>((F46)*1.5)+2950+11250</f>
        <v>111138.25</v>
      </c>
      <c r="H46" s="13" t="s">
        <v>586</v>
      </c>
      <c r="I46" s="14" t="s">
        <v>14</v>
      </c>
      <c r="J46" s="14">
        <v>3457032</v>
      </c>
      <c r="K46" s="15"/>
      <c r="L46" s="5" t="s">
        <v>587</v>
      </c>
      <c r="M46" s="17">
        <v>45891</v>
      </c>
      <c r="N46" s="5">
        <f t="shared" si="2"/>
        <v>9</v>
      </c>
      <c r="O46" s="20" t="s">
        <v>588</v>
      </c>
      <c r="P46" s="6"/>
      <c r="Q46" s="18"/>
      <c r="R46" s="18"/>
      <c r="S46" s="18"/>
      <c r="T46" s="18"/>
      <c r="U46" s="18"/>
      <c r="V46" s="18"/>
      <c r="W46" s="18"/>
      <c r="X46" s="18"/>
      <c r="Y46" s="18"/>
    </row>
    <row r="47" spans="1:26" ht="14.25" customHeight="1" x14ac:dyDescent="0.35">
      <c r="A47" s="12">
        <v>45887</v>
      </c>
      <c r="B47" s="13">
        <v>9055</v>
      </c>
      <c r="C47" s="14" t="s">
        <v>572</v>
      </c>
      <c r="D47" s="13" t="s">
        <v>589</v>
      </c>
      <c r="E47" s="15">
        <v>45782</v>
      </c>
      <c r="F47" s="16">
        <v>58190</v>
      </c>
      <c r="G47" s="16">
        <f>((F47)*1.5)+1816.5+5750</f>
        <v>94851.5</v>
      </c>
      <c r="H47" s="13" t="s">
        <v>590</v>
      </c>
      <c r="I47" s="14" t="s">
        <v>36</v>
      </c>
      <c r="J47" s="19">
        <v>3436927</v>
      </c>
      <c r="K47" s="15"/>
      <c r="L47" s="3"/>
      <c r="M47" s="17">
        <v>45896</v>
      </c>
      <c r="N47" s="5">
        <f t="shared" si="2"/>
        <v>114</v>
      </c>
      <c r="O47" s="20" t="s">
        <v>591</v>
      </c>
      <c r="P47" s="6"/>
      <c r="Q47" s="18"/>
      <c r="R47" s="18"/>
      <c r="S47" s="18"/>
      <c r="T47" s="18"/>
      <c r="U47" s="18"/>
      <c r="V47" s="18"/>
      <c r="W47" s="18"/>
      <c r="X47" s="18"/>
      <c r="Y47" s="18"/>
    </row>
    <row r="48" spans="1:26" ht="14.25" customHeight="1" x14ac:dyDescent="0.35">
      <c r="A48" s="12">
        <v>45884</v>
      </c>
      <c r="B48" s="13">
        <v>5028</v>
      </c>
      <c r="C48" s="14" t="s">
        <v>41</v>
      </c>
      <c r="D48" s="13" t="s">
        <v>592</v>
      </c>
      <c r="E48" s="15">
        <v>45883</v>
      </c>
      <c r="F48" s="16">
        <v>110546.6</v>
      </c>
      <c r="G48" s="16">
        <f>((F48-4000)*1.5)+4000+11250</f>
        <v>175069.90000000002</v>
      </c>
      <c r="H48" s="14" t="s">
        <v>593</v>
      </c>
      <c r="I48" s="14" t="s">
        <v>249</v>
      </c>
      <c r="J48" s="19">
        <v>3455391</v>
      </c>
      <c r="K48" s="15"/>
      <c r="L48" s="5"/>
      <c r="M48" s="17">
        <v>45891</v>
      </c>
      <c r="N48" s="5">
        <f t="shared" si="2"/>
        <v>8</v>
      </c>
      <c r="O48" s="6"/>
      <c r="P48" s="6"/>
      <c r="Q48" s="18"/>
      <c r="R48" s="18"/>
      <c r="S48" s="18"/>
      <c r="T48" s="18"/>
      <c r="U48" s="18"/>
      <c r="V48" s="18"/>
      <c r="W48" s="18"/>
      <c r="X48" s="18"/>
      <c r="Y48" s="18"/>
    </row>
    <row r="49" spans="1:26" ht="14.25" customHeight="1" x14ac:dyDescent="0.35">
      <c r="A49" s="12">
        <v>45882</v>
      </c>
      <c r="B49" s="13">
        <v>14204</v>
      </c>
      <c r="C49" s="14" t="s">
        <v>11</v>
      </c>
      <c r="D49" s="13" t="s">
        <v>37</v>
      </c>
      <c r="E49" s="15">
        <v>45834</v>
      </c>
      <c r="F49" s="16">
        <v>52313</v>
      </c>
      <c r="G49" s="16">
        <f>((F49-3449)*1.45)+3449+11250</f>
        <v>85551.8</v>
      </c>
      <c r="H49" s="14" t="s">
        <v>594</v>
      </c>
      <c r="I49" s="14" t="s">
        <v>205</v>
      </c>
      <c r="J49" s="19" t="s">
        <v>300</v>
      </c>
      <c r="K49" s="15" t="s">
        <v>595</v>
      </c>
      <c r="L49" s="3" t="s">
        <v>596</v>
      </c>
      <c r="M49" s="5"/>
      <c r="N49" s="5"/>
      <c r="O49" s="6"/>
      <c r="P49" s="6"/>
      <c r="Q49" s="18"/>
      <c r="R49" s="18"/>
      <c r="S49" s="18"/>
      <c r="T49" s="18"/>
      <c r="U49" s="18"/>
      <c r="V49" s="18"/>
      <c r="W49" s="18"/>
      <c r="X49" s="18"/>
      <c r="Y49" s="18"/>
    </row>
    <row r="50" spans="1:26" ht="14.25" customHeight="1" x14ac:dyDescent="0.35">
      <c r="A50" s="12">
        <v>45869</v>
      </c>
      <c r="B50" s="13">
        <v>31852</v>
      </c>
      <c r="C50" s="14" t="s">
        <v>32</v>
      </c>
      <c r="D50" s="13" t="s">
        <v>597</v>
      </c>
      <c r="E50" s="15">
        <v>45539</v>
      </c>
      <c r="F50" s="16">
        <v>69882.820000000007</v>
      </c>
      <c r="G50" s="16">
        <f>((71309)*1.45)+4253+11250</f>
        <v>118901.05</v>
      </c>
      <c r="H50" s="13" t="s">
        <v>598</v>
      </c>
      <c r="I50" s="14" t="s">
        <v>14</v>
      </c>
      <c r="J50" s="14">
        <v>3451051</v>
      </c>
      <c r="K50" s="15"/>
      <c r="L50" s="3" t="s">
        <v>599</v>
      </c>
      <c r="M50" s="17">
        <v>45873</v>
      </c>
      <c r="N50" s="5">
        <f t="shared" ref="N50:N51" si="3">M50-E50</f>
        <v>334</v>
      </c>
      <c r="O50" s="20" t="s">
        <v>600</v>
      </c>
      <c r="P50" s="6" t="s">
        <v>601</v>
      </c>
      <c r="Q50" s="18"/>
      <c r="R50" s="18"/>
      <c r="S50" s="18"/>
      <c r="T50" s="18"/>
      <c r="U50" s="18"/>
      <c r="V50" s="18"/>
      <c r="W50" s="18"/>
      <c r="X50" s="18"/>
      <c r="Y50" s="18"/>
    </row>
    <row r="51" spans="1:26" ht="14.25" customHeight="1" x14ac:dyDescent="0.35">
      <c r="A51" s="12">
        <v>45873</v>
      </c>
      <c r="B51" s="13">
        <v>14613</v>
      </c>
      <c r="C51" s="14" t="s">
        <v>11</v>
      </c>
      <c r="D51" s="13" t="s">
        <v>37</v>
      </c>
      <c r="E51" s="15">
        <v>45870</v>
      </c>
      <c r="F51" s="16">
        <v>52333</v>
      </c>
      <c r="G51" s="16">
        <f>((F51-3449)*1.45)+3449+11250</f>
        <v>85580.800000000003</v>
      </c>
      <c r="H51" s="13" t="s">
        <v>602</v>
      </c>
      <c r="I51" s="14" t="s">
        <v>14</v>
      </c>
      <c r="J51" s="14">
        <v>3433061</v>
      </c>
      <c r="K51" s="15"/>
      <c r="L51" s="5"/>
      <c r="M51" s="17">
        <v>45873</v>
      </c>
      <c r="N51" s="5">
        <f t="shared" si="3"/>
        <v>3</v>
      </c>
      <c r="O51" s="6"/>
      <c r="P51" s="6"/>
      <c r="Q51" s="18"/>
      <c r="R51" s="18"/>
      <c r="S51" s="18"/>
      <c r="T51" s="18"/>
      <c r="U51" s="18"/>
      <c r="V51" s="18"/>
      <c r="W51" s="18"/>
      <c r="X51" s="18"/>
      <c r="Y51" s="18"/>
    </row>
    <row r="52" spans="1:26" ht="14.25" customHeight="1" x14ac:dyDescent="0.35">
      <c r="A52" s="12"/>
      <c r="B52" s="13"/>
      <c r="C52" s="14"/>
      <c r="D52" s="13"/>
      <c r="E52" s="15"/>
      <c r="F52" s="16"/>
      <c r="G52" s="16"/>
      <c r="H52" s="13"/>
      <c r="I52" s="14"/>
      <c r="J52" s="14"/>
      <c r="K52" s="15"/>
      <c r="L52" s="5"/>
      <c r="M52" s="17"/>
      <c r="N52" s="5"/>
      <c r="O52" s="6"/>
      <c r="P52" s="6"/>
      <c r="Q52" s="18"/>
      <c r="R52" s="18"/>
      <c r="S52" s="18"/>
      <c r="T52" s="18"/>
      <c r="U52" s="18"/>
      <c r="V52" s="18"/>
      <c r="W52" s="18"/>
      <c r="X52" s="18"/>
      <c r="Y52" s="18"/>
    </row>
    <row r="53" spans="1:26" ht="14.25" customHeight="1" x14ac:dyDescent="0.35">
      <c r="A53" s="12">
        <v>45868</v>
      </c>
      <c r="B53" s="13">
        <v>1721</v>
      </c>
      <c r="C53" s="14" t="s">
        <v>21</v>
      </c>
      <c r="D53" s="13" t="s">
        <v>22</v>
      </c>
      <c r="E53" s="15">
        <v>45670</v>
      </c>
      <c r="F53" s="16">
        <v>62006</v>
      </c>
      <c r="G53" s="16">
        <f>((F53)*1.5)+3082+11250</f>
        <v>107341</v>
      </c>
      <c r="H53" s="14" t="s">
        <v>23</v>
      </c>
      <c r="I53" s="14" t="s">
        <v>14</v>
      </c>
      <c r="J53" s="19">
        <v>3429623</v>
      </c>
      <c r="K53" s="15" t="s">
        <v>15</v>
      </c>
      <c r="L53" s="3" t="s">
        <v>24</v>
      </c>
      <c r="M53" s="17">
        <v>45868</v>
      </c>
      <c r="N53" s="5">
        <f>M53-E53</f>
        <v>198</v>
      </c>
      <c r="O53" s="20" t="s">
        <v>25</v>
      </c>
      <c r="P53" s="6"/>
      <c r="Q53" s="18"/>
      <c r="R53" s="18"/>
      <c r="S53" s="18"/>
      <c r="T53" s="18"/>
      <c r="U53" s="18"/>
      <c r="V53" s="18"/>
      <c r="W53" s="18"/>
      <c r="X53" s="18"/>
      <c r="Y53" s="18"/>
    </row>
    <row r="54" spans="1:26" ht="14.25" customHeight="1" x14ac:dyDescent="0.35">
      <c r="A54" s="12">
        <v>45855</v>
      </c>
      <c r="B54" s="13">
        <v>25179</v>
      </c>
      <c r="C54" s="13" t="s">
        <v>11</v>
      </c>
      <c r="D54" s="13" t="s">
        <v>17</v>
      </c>
      <c r="E54" s="15">
        <v>45804</v>
      </c>
      <c r="F54" s="16">
        <v>41695</v>
      </c>
      <c r="G54" s="16">
        <f>((F54-1730)*1.45)+1730+5750</f>
        <v>65429.25</v>
      </c>
      <c r="H54" s="13" t="s">
        <v>18</v>
      </c>
      <c r="I54" s="14" t="s">
        <v>19</v>
      </c>
      <c r="J54" s="14">
        <v>3408705</v>
      </c>
      <c r="K54" s="15" t="s">
        <v>15</v>
      </c>
      <c r="L54" s="5" t="s">
        <v>20</v>
      </c>
      <c r="M54" s="17">
        <v>45859</v>
      </c>
      <c r="N54" s="5">
        <f>M54-E54</f>
        <v>55</v>
      </c>
      <c r="O54" s="6"/>
      <c r="P54" s="6"/>
      <c r="Q54" s="18"/>
      <c r="R54" s="18"/>
      <c r="S54" s="18"/>
      <c r="T54" s="18"/>
      <c r="U54" s="18"/>
      <c r="V54" s="18"/>
      <c r="W54" s="18"/>
      <c r="X54" s="18"/>
      <c r="Y54" s="18"/>
    </row>
    <row r="55" spans="1:26" ht="14.25" customHeight="1" x14ac:dyDescent="0.35">
      <c r="A55" s="12">
        <v>45840</v>
      </c>
      <c r="B55" s="13">
        <v>9304</v>
      </c>
      <c r="C55" s="13" t="s">
        <v>572</v>
      </c>
      <c r="D55" s="13" t="s">
        <v>589</v>
      </c>
      <c r="E55" s="15">
        <v>45840</v>
      </c>
      <c r="F55" s="16">
        <v>58190</v>
      </c>
      <c r="G55" s="16">
        <f>((F55)*1.5)+1816.5+5750</f>
        <v>94851.5</v>
      </c>
      <c r="H55" s="14" t="s">
        <v>603</v>
      </c>
      <c r="I55" s="14" t="s">
        <v>14</v>
      </c>
      <c r="J55" s="19">
        <v>3429706</v>
      </c>
      <c r="K55" s="15"/>
      <c r="L55" s="3"/>
      <c r="M55" s="17">
        <v>45843</v>
      </c>
      <c r="N55" s="5">
        <f t="shared" ref="N55:N57" si="4">M55-E55</f>
        <v>3</v>
      </c>
      <c r="O55" s="20" t="s">
        <v>591</v>
      </c>
      <c r="P55" s="6"/>
      <c r="Q55" s="18"/>
      <c r="R55" s="18"/>
      <c r="S55" s="18"/>
      <c r="T55" s="18"/>
      <c r="U55" s="18"/>
      <c r="V55" s="18"/>
      <c r="W55" s="18"/>
      <c r="X55" s="18"/>
      <c r="Y55" s="18"/>
    </row>
    <row r="56" spans="1:26" ht="15" customHeight="1" x14ac:dyDescent="0.35">
      <c r="A56" s="12">
        <v>45845</v>
      </c>
      <c r="B56" s="13">
        <v>3082</v>
      </c>
      <c r="C56" s="13" t="s">
        <v>41</v>
      </c>
      <c r="D56" s="13" t="s">
        <v>604</v>
      </c>
      <c r="E56" s="15">
        <v>45105</v>
      </c>
      <c r="F56" s="63">
        <v>82860</v>
      </c>
      <c r="G56" s="16">
        <f>((F56-3800)*1.5)+3800+11250</f>
        <v>133640</v>
      </c>
      <c r="H56" s="14" t="s">
        <v>605</v>
      </c>
      <c r="I56" s="14" t="s">
        <v>14</v>
      </c>
      <c r="J56" s="19">
        <v>3428641</v>
      </c>
      <c r="K56" s="15"/>
      <c r="L56" s="59"/>
      <c r="M56" s="17">
        <v>45848</v>
      </c>
      <c r="N56" s="5">
        <f t="shared" si="4"/>
        <v>743</v>
      </c>
      <c r="O56" s="6"/>
      <c r="P56" s="6"/>
    </row>
    <row r="57" spans="1:26" ht="14.25" customHeight="1" x14ac:dyDescent="0.35">
      <c r="A57" s="64" t="s">
        <v>606</v>
      </c>
      <c r="B57" s="13">
        <v>1908</v>
      </c>
      <c r="C57" s="14" t="s">
        <v>572</v>
      </c>
      <c r="D57" s="13" t="s">
        <v>22</v>
      </c>
      <c r="E57" s="15">
        <v>45762</v>
      </c>
      <c r="F57" s="16">
        <v>62485</v>
      </c>
      <c r="G57" s="16">
        <f>((F57)*1.5)+3082+11250</f>
        <v>108059.5</v>
      </c>
      <c r="H57" s="13" t="s">
        <v>607</v>
      </c>
      <c r="I57" s="14" t="s">
        <v>608</v>
      </c>
      <c r="J57" s="14">
        <v>3401165</v>
      </c>
      <c r="K57" s="15"/>
      <c r="L57" s="3" t="s">
        <v>609</v>
      </c>
      <c r="M57" s="17">
        <v>45845</v>
      </c>
      <c r="N57" s="5">
        <f t="shared" si="4"/>
        <v>83</v>
      </c>
      <c r="O57" s="20" t="s">
        <v>25</v>
      </c>
      <c r="P57" s="6"/>
      <c r="Q57" s="18"/>
      <c r="R57" s="18"/>
      <c r="S57" s="18"/>
      <c r="T57" s="18"/>
      <c r="U57" s="18"/>
      <c r="V57" s="18"/>
      <c r="W57" s="18"/>
      <c r="X57" s="18"/>
      <c r="Y57" s="18"/>
    </row>
    <row r="58" spans="1:26" ht="15.75" customHeight="1" x14ac:dyDescent="0.35">
      <c r="A58" s="12">
        <v>45806</v>
      </c>
      <c r="B58" s="13">
        <v>13296</v>
      </c>
      <c r="C58" s="14" t="s">
        <v>11</v>
      </c>
      <c r="D58" s="13" t="s">
        <v>610</v>
      </c>
      <c r="E58" s="15">
        <v>45590</v>
      </c>
      <c r="F58" s="16">
        <v>50237</v>
      </c>
      <c r="G58" s="16">
        <f>((F58-3026)*1.5)+3026+11250</f>
        <v>85092.5</v>
      </c>
      <c r="H58" s="13" t="s">
        <v>611</v>
      </c>
      <c r="I58" s="14" t="s">
        <v>14</v>
      </c>
      <c r="J58" s="19" t="s">
        <v>300</v>
      </c>
      <c r="K58" s="15" t="s">
        <v>612</v>
      </c>
      <c r="L58" s="3" t="s">
        <v>613</v>
      </c>
      <c r="N58" s="5"/>
      <c r="O58" s="6"/>
      <c r="P58" s="7"/>
      <c r="Q58" s="18"/>
      <c r="R58" s="18"/>
      <c r="S58" s="18"/>
      <c r="T58" s="18"/>
      <c r="U58" s="18"/>
      <c r="V58" s="18"/>
      <c r="W58" s="18"/>
      <c r="X58" s="18"/>
      <c r="Y58" s="18"/>
    </row>
    <row r="59" spans="1:26" ht="14.25" customHeight="1" x14ac:dyDescent="0.35">
      <c r="A59" s="12"/>
      <c r="B59" s="13"/>
      <c r="C59" s="14"/>
      <c r="D59" s="13"/>
      <c r="E59" s="15"/>
      <c r="F59" s="16"/>
      <c r="G59" s="16"/>
      <c r="H59" s="14"/>
      <c r="I59" s="13"/>
      <c r="J59" s="19"/>
      <c r="K59" s="15"/>
      <c r="L59" s="3"/>
      <c r="M59" s="11"/>
      <c r="N59" s="5"/>
      <c r="O59" s="5"/>
      <c r="P59" s="6"/>
      <c r="Q59" s="7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 x14ac:dyDescent="0.35">
      <c r="A60" s="12">
        <v>45833</v>
      </c>
      <c r="B60" s="13">
        <v>32412</v>
      </c>
      <c r="C60" s="14" t="s">
        <v>32</v>
      </c>
      <c r="D60" s="13" t="s">
        <v>40</v>
      </c>
      <c r="E60" s="15">
        <v>45769</v>
      </c>
      <c r="F60" s="16">
        <v>59706</v>
      </c>
      <c r="G60" s="16">
        <f>((F60)*1.45)+2145.8+5750</f>
        <v>94469.5</v>
      </c>
      <c r="H60" s="14" t="s">
        <v>614</v>
      </c>
      <c r="I60" s="14" t="s">
        <v>14</v>
      </c>
      <c r="J60" s="19">
        <v>3443377</v>
      </c>
      <c r="K60" s="15"/>
      <c r="L60" s="3"/>
      <c r="M60" s="17">
        <v>45835</v>
      </c>
      <c r="N60" s="5">
        <f t="shared" ref="N60:N62" si="5">M60-E60</f>
        <v>66</v>
      </c>
      <c r="O60" s="20" t="s">
        <v>615</v>
      </c>
      <c r="P60" s="6"/>
      <c r="Q60" s="18"/>
      <c r="R60" s="18"/>
      <c r="S60" s="18"/>
      <c r="T60" s="18"/>
      <c r="U60" s="18"/>
      <c r="V60" s="18"/>
      <c r="W60" s="18"/>
      <c r="X60" s="18"/>
      <c r="Y60" s="18"/>
    </row>
    <row r="61" spans="1:26" ht="14.25" customHeight="1" x14ac:dyDescent="0.35">
      <c r="A61" s="12">
        <v>45827</v>
      </c>
      <c r="B61" s="13">
        <v>14201</v>
      </c>
      <c r="C61" s="14" t="s">
        <v>11</v>
      </c>
      <c r="D61" s="13" t="s">
        <v>37</v>
      </c>
      <c r="E61" s="15">
        <v>45827</v>
      </c>
      <c r="F61" s="16">
        <v>52298</v>
      </c>
      <c r="G61" s="16">
        <f>((F61-3449)*1.45)+3449+11250</f>
        <v>85530.05</v>
      </c>
      <c r="H61" s="14" t="s">
        <v>616</v>
      </c>
      <c r="I61" s="14" t="s">
        <v>14</v>
      </c>
      <c r="J61" s="19">
        <v>3398764</v>
      </c>
      <c r="K61" s="15"/>
      <c r="L61" s="3"/>
      <c r="M61" s="17">
        <v>45828</v>
      </c>
      <c r="N61" s="5">
        <f t="shared" si="5"/>
        <v>1</v>
      </c>
      <c r="O61" s="6"/>
      <c r="P61" s="6"/>
      <c r="Q61" s="18"/>
      <c r="R61" s="18"/>
      <c r="S61" s="18"/>
      <c r="T61" s="18"/>
      <c r="U61" s="18"/>
      <c r="V61" s="18"/>
      <c r="W61" s="18"/>
      <c r="X61" s="18"/>
      <c r="Y61" s="18"/>
    </row>
    <row r="62" spans="1:26" ht="14.25" customHeight="1" x14ac:dyDescent="0.35">
      <c r="A62" s="12">
        <v>45831</v>
      </c>
      <c r="B62" s="13">
        <v>28422</v>
      </c>
      <c r="C62" s="13" t="s">
        <v>57</v>
      </c>
      <c r="D62" s="13" t="s">
        <v>617</v>
      </c>
      <c r="E62" s="15">
        <v>45790</v>
      </c>
      <c r="F62" s="16">
        <v>99716</v>
      </c>
      <c r="G62" s="16">
        <f>((F62-4597)*1.45)+4597+11250</f>
        <v>153769.54999999999</v>
      </c>
      <c r="H62" s="13" t="s">
        <v>618</v>
      </c>
      <c r="I62" s="14" t="s">
        <v>14</v>
      </c>
      <c r="J62" s="14">
        <v>3412069</v>
      </c>
      <c r="K62" s="15"/>
      <c r="L62" s="5" t="s">
        <v>619</v>
      </c>
      <c r="M62" s="17">
        <v>45832</v>
      </c>
      <c r="N62" s="5">
        <f t="shared" si="5"/>
        <v>42</v>
      </c>
      <c r="O62" s="6"/>
      <c r="P62" s="6"/>
      <c r="Q62" s="18"/>
      <c r="R62" s="18"/>
      <c r="S62" s="18"/>
      <c r="T62" s="18"/>
      <c r="U62" s="18"/>
      <c r="V62" s="18"/>
      <c r="W62" s="18"/>
      <c r="X62" s="18"/>
      <c r="Y62" s="18"/>
    </row>
    <row r="63" spans="1:26" ht="14.25" customHeight="1" x14ac:dyDescent="0.35">
      <c r="A63" s="64" t="s">
        <v>620</v>
      </c>
      <c r="B63" s="13">
        <v>13322</v>
      </c>
      <c r="C63" s="14" t="s">
        <v>11</v>
      </c>
      <c r="D63" s="13" t="s">
        <v>37</v>
      </c>
      <c r="E63" s="15">
        <v>45597</v>
      </c>
      <c r="F63" s="16">
        <v>47043</v>
      </c>
      <c r="G63" s="16">
        <f>((F63-3026)*1.5)+3026+11250</f>
        <v>80301.5</v>
      </c>
      <c r="H63" s="13" t="s">
        <v>621</v>
      </c>
      <c r="I63" s="14" t="s">
        <v>622</v>
      </c>
      <c r="J63" s="14" t="s">
        <v>623</v>
      </c>
      <c r="K63" s="19" t="s">
        <v>300</v>
      </c>
      <c r="L63" s="3" t="s">
        <v>624</v>
      </c>
      <c r="N63" s="5"/>
      <c r="O63" s="6"/>
      <c r="P63" s="6"/>
      <c r="Q63" s="18"/>
      <c r="R63" s="18"/>
      <c r="S63" s="18"/>
      <c r="T63" s="18"/>
      <c r="U63" s="18"/>
      <c r="V63" s="18"/>
      <c r="W63" s="18"/>
      <c r="X63" s="18"/>
      <c r="Y63" s="18"/>
    </row>
    <row r="64" spans="1:26" ht="14.25" customHeight="1" x14ac:dyDescent="0.35">
      <c r="A64" s="12">
        <v>45817</v>
      </c>
      <c r="B64" s="13">
        <v>25169</v>
      </c>
      <c r="C64" s="13" t="s">
        <v>11</v>
      </c>
      <c r="D64" s="13" t="s">
        <v>17</v>
      </c>
      <c r="E64" s="15">
        <v>45800</v>
      </c>
      <c r="F64" s="16">
        <v>41695</v>
      </c>
      <c r="G64" s="16">
        <f>((F64-1730)*1.45)+1730+5750</f>
        <v>65429.25</v>
      </c>
      <c r="H64" s="14" t="s">
        <v>531</v>
      </c>
      <c r="I64" s="14" t="s">
        <v>14</v>
      </c>
      <c r="J64" s="13" t="s">
        <v>625</v>
      </c>
      <c r="K64" s="15" t="s">
        <v>300</v>
      </c>
      <c r="L64" s="3" t="s">
        <v>626</v>
      </c>
      <c r="M64" s="5"/>
      <c r="N64" s="5"/>
      <c r="O64" s="6"/>
      <c r="P64" s="6"/>
      <c r="Q64" s="18"/>
      <c r="R64" s="18"/>
      <c r="S64" s="18"/>
      <c r="T64" s="18"/>
      <c r="U64" s="18"/>
      <c r="V64" s="18"/>
      <c r="W64" s="18"/>
      <c r="X64" s="18"/>
      <c r="Y64" s="18"/>
    </row>
    <row r="65" spans="1:26" ht="14.25" customHeight="1" x14ac:dyDescent="0.35">
      <c r="A65" s="12">
        <v>45810</v>
      </c>
      <c r="B65" s="13">
        <v>31853</v>
      </c>
      <c r="C65" s="14" t="s">
        <v>32</v>
      </c>
      <c r="D65" s="13" t="s">
        <v>40</v>
      </c>
      <c r="E65" s="15">
        <v>45553</v>
      </c>
      <c r="F65" s="16">
        <v>57759</v>
      </c>
      <c r="G65" s="16">
        <f>((F65)*1.45)+2200+5750</f>
        <v>91700.55</v>
      </c>
      <c r="H65" s="13" t="s">
        <v>627</v>
      </c>
      <c r="I65" s="14" t="s">
        <v>249</v>
      </c>
      <c r="J65" s="14">
        <v>3342698</v>
      </c>
      <c r="K65" s="15"/>
      <c r="L65" s="3"/>
      <c r="M65" s="17">
        <v>45814</v>
      </c>
      <c r="N65" s="5">
        <f t="shared" ref="N65:N67" si="6">M65-E65</f>
        <v>261</v>
      </c>
      <c r="O65" s="20" t="s">
        <v>628</v>
      </c>
      <c r="P65" s="7"/>
      <c r="Q65" s="18"/>
      <c r="R65" s="18"/>
      <c r="S65" s="18"/>
      <c r="T65" s="18"/>
      <c r="U65" s="18"/>
      <c r="V65" s="18"/>
      <c r="W65" s="18"/>
      <c r="X65" s="18"/>
      <c r="Y65" s="18"/>
    </row>
    <row r="66" spans="1:26" ht="14.25" customHeight="1" x14ac:dyDescent="0.35">
      <c r="A66" s="12" t="s">
        <v>629</v>
      </c>
      <c r="B66" s="13">
        <v>9190</v>
      </c>
      <c r="C66" s="14" t="s">
        <v>572</v>
      </c>
      <c r="D66" s="13" t="s">
        <v>630</v>
      </c>
      <c r="E66" s="15">
        <v>45811</v>
      </c>
      <c r="F66" s="16">
        <v>58734</v>
      </c>
      <c r="G66" s="16">
        <f>((F66)*1.5)+1816.5+5750</f>
        <v>95667.5</v>
      </c>
      <c r="H66" s="14" t="s">
        <v>631</v>
      </c>
      <c r="I66" s="14" t="s">
        <v>14</v>
      </c>
      <c r="J66" s="19">
        <v>3417234</v>
      </c>
      <c r="K66" s="15"/>
      <c r="L66" s="3"/>
      <c r="M66" s="17">
        <v>45818</v>
      </c>
      <c r="N66" s="5">
        <f t="shared" si="6"/>
        <v>7</v>
      </c>
      <c r="O66" s="20" t="s">
        <v>591</v>
      </c>
      <c r="P66" s="6"/>
      <c r="Q66" s="18"/>
      <c r="R66" s="18"/>
      <c r="S66" s="18"/>
      <c r="T66" s="18"/>
      <c r="U66" s="18"/>
      <c r="V66" s="18"/>
      <c r="W66" s="18"/>
      <c r="X66" s="18"/>
      <c r="Y66" s="18"/>
    </row>
    <row r="67" spans="1:26" ht="14.25" customHeight="1" x14ac:dyDescent="0.35">
      <c r="A67" s="12" t="s">
        <v>632</v>
      </c>
      <c r="B67" s="13">
        <v>30684</v>
      </c>
      <c r="C67" s="13" t="s">
        <v>57</v>
      </c>
      <c r="D67" s="13" t="s">
        <v>617</v>
      </c>
      <c r="E67" s="15">
        <v>45797</v>
      </c>
      <c r="F67" s="16">
        <v>99021</v>
      </c>
      <c r="G67" s="16">
        <f>((F67-4616)*1.45)+4616+11250</f>
        <v>152753.25</v>
      </c>
      <c r="H67" s="13" t="s">
        <v>633</v>
      </c>
      <c r="I67" s="14" t="s">
        <v>14</v>
      </c>
      <c r="J67" s="14">
        <v>3363812</v>
      </c>
      <c r="K67" s="15"/>
      <c r="L67" s="3" t="s">
        <v>634</v>
      </c>
      <c r="M67" s="17">
        <v>45818</v>
      </c>
      <c r="N67" s="5">
        <f t="shared" si="6"/>
        <v>21</v>
      </c>
      <c r="O67" s="6">
        <v>151000</v>
      </c>
      <c r="P67" s="6">
        <f>O67-G67</f>
        <v>-1753.25</v>
      </c>
      <c r="Q67" s="18"/>
      <c r="R67" s="18"/>
      <c r="S67" s="18"/>
      <c r="T67" s="18"/>
      <c r="U67" s="18"/>
      <c r="V67" s="18"/>
      <c r="W67" s="18"/>
      <c r="X67" s="18"/>
      <c r="Y67" s="18"/>
    </row>
    <row r="68" spans="1:26" ht="14.25" customHeight="1" x14ac:dyDescent="0.35">
      <c r="A68" s="12" t="s">
        <v>635</v>
      </c>
      <c r="B68" s="13">
        <v>11543</v>
      </c>
      <c r="C68" s="14" t="s">
        <v>636</v>
      </c>
      <c r="D68" s="14" t="s">
        <v>637</v>
      </c>
      <c r="E68" s="15">
        <v>44774</v>
      </c>
      <c r="F68" s="16">
        <v>98862.53</v>
      </c>
      <c r="G68" s="16">
        <f>((F68-8404)*1.45)+8404+11250</f>
        <v>150818.86849999998</v>
      </c>
      <c r="H68" s="13" t="s">
        <v>638</v>
      </c>
      <c r="I68" s="14" t="s">
        <v>14</v>
      </c>
      <c r="J68" s="49" t="s">
        <v>639</v>
      </c>
      <c r="K68" s="50" t="s">
        <v>640</v>
      </c>
      <c r="L68" s="4" t="s">
        <v>641</v>
      </c>
      <c r="M68" s="6">
        <f>55363.03-1977.25</f>
        <v>53385.78</v>
      </c>
      <c r="N68" s="22">
        <f>F68-M68</f>
        <v>45476.75</v>
      </c>
      <c r="O68" s="65"/>
      <c r="P68" s="65"/>
      <c r="Q68" s="66"/>
      <c r="R68" s="66"/>
      <c r="S68" s="67"/>
      <c r="T68" s="67"/>
      <c r="U68" s="67"/>
      <c r="V68" s="67"/>
      <c r="W68" s="67"/>
      <c r="X68" s="67"/>
      <c r="Y68" s="67"/>
    </row>
    <row r="69" spans="1:26" ht="14.25" customHeight="1" x14ac:dyDescent="0.35">
      <c r="A69" s="12">
        <v>45810</v>
      </c>
      <c r="B69" s="13">
        <v>13579</v>
      </c>
      <c r="C69" s="14" t="s">
        <v>11</v>
      </c>
      <c r="D69" s="13" t="s">
        <v>37</v>
      </c>
      <c r="E69" s="15">
        <v>45709</v>
      </c>
      <c r="F69" s="16">
        <v>51560</v>
      </c>
      <c r="G69" s="16">
        <f>((F69-3394)*1.45)+3394+11250</f>
        <v>84484.7</v>
      </c>
      <c r="H69" s="13" t="s">
        <v>642</v>
      </c>
      <c r="I69" s="14" t="s">
        <v>19</v>
      </c>
      <c r="J69" s="14" t="s">
        <v>643</v>
      </c>
      <c r="K69" s="15"/>
      <c r="L69" s="3" t="s">
        <v>644</v>
      </c>
      <c r="M69" s="17">
        <v>45811</v>
      </c>
      <c r="N69" s="5">
        <f t="shared" ref="N69:N70" si="7">M69-E69</f>
        <v>102</v>
      </c>
      <c r="O69" s="6"/>
      <c r="P69" s="6"/>
      <c r="Q69" s="18"/>
      <c r="R69" s="18"/>
      <c r="S69" s="18"/>
      <c r="T69" s="18"/>
      <c r="U69" s="18"/>
      <c r="V69" s="18"/>
      <c r="W69" s="18"/>
      <c r="X69" s="18"/>
      <c r="Y69" s="18"/>
    </row>
    <row r="70" spans="1:26" ht="14.25" customHeight="1" x14ac:dyDescent="0.35">
      <c r="A70" s="12">
        <v>45807</v>
      </c>
      <c r="B70" s="13">
        <v>28406</v>
      </c>
      <c r="C70" s="13" t="s">
        <v>57</v>
      </c>
      <c r="D70" s="13" t="s">
        <v>617</v>
      </c>
      <c r="E70" s="15">
        <v>45785</v>
      </c>
      <c r="F70" s="16">
        <v>99538</v>
      </c>
      <c r="G70" s="16">
        <f>((F70-4616)*1.45)+4616+11250</f>
        <v>153502.9</v>
      </c>
      <c r="H70" s="13" t="s">
        <v>645</v>
      </c>
      <c r="I70" s="14" t="s">
        <v>14</v>
      </c>
      <c r="J70" s="14">
        <v>3400234</v>
      </c>
      <c r="K70" s="15"/>
      <c r="L70" s="3"/>
      <c r="M70" s="17">
        <v>45812</v>
      </c>
      <c r="N70" s="5">
        <f t="shared" si="7"/>
        <v>27</v>
      </c>
      <c r="O70" s="6"/>
      <c r="P70" s="6"/>
      <c r="Q70" s="18"/>
      <c r="R70" s="18"/>
      <c r="S70" s="18"/>
      <c r="T70" s="18"/>
      <c r="U70" s="18"/>
      <c r="V70" s="18"/>
      <c r="W70" s="18"/>
      <c r="X70" s="18"/>
      <c r="Y70" s="18"/>
    </row>
    <row r="71" spans="1:26" ht="14.25" customHeight="1" x14ac:dyDescent="0.35">
      <c r="A71" s="12"/>
      <c r="B71" s="13"/>
      <c r="C71" s="14"/>
      <c r="D71" s="13"/>
      <c r="E71" s="15"/>
      <c r="F71" s="16"/>
      <c r="G71" s="16"/>
      <c r="H71" s="14"/>
      <c r="I71" s="13"/>
      <c r="J71" s="19"/>
      <c r="K71" s="15"/>
      <c r="L71" s="3"/>
      <c r="M71" s="11"/>
      <c r="N71" s="5"/>
      <c r="O71" s="5"/>
      <c r="P71" s="6"/>
      <c r="Q71" s="7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35">
      <c r="A72" s="12">
        <v>45761</v>
      </c>
      <c r="B72" s="13">
        <v>12390</v>
      </c>
      <c r="C72" s="14" t="s">
        <v>646</v>
      </c>
      <c r="D72" s="13"/>
      <c r="E72" s="15"/>
      <c r="F72" s="16"/>
      <c r="G72" s="16">
        <v>39900</v>
      </c>
      <c r="H72" s="13" t="s">
        <v>647</v>
      </c>
      <c r="I72" s="14" t="s">
        <v>14</v>
      </c>
      <c r="J72" s="14">
        <v>3378172</v>
      </c>
      <c r="K72" s="15" t="s">
        <v>86</v>
      </c>
      <c r="L72" s="5" t="s">
        <v>648</v>
      </c>
      <c r="M72" s="5"/>
      <c r="N72" s="5"/>
      <c r="O72" s="6"/>
      <c r="P72" s="6"/>
      <c r="Q72" s="18"/>
      <c r="R72" s="18"/>
      <c r="S72" s="18"/>
      <c r="T72" s="18"/>
      <c r="U72" s="18"/>
      <c r="V72" s="18"/>
      <c r="W72" s="18"/>
      <c r="X72" s="18"/>
      <c r="Y72" s="18"/>
    </row>
    <row r="73" spans="1:26" ht="14.25" customHeight="1" x14ac:dyDescent="0.35">
      <c r="A73" s="12">
        <v>45798</v>
      </c>
      <c r="B73" s="13">
        <v>23146</v>
      </c>
      <c r="C73" s="14" t="s">
        <v>11</v>
      </c>
      <c r="D73" s="13" t="s">
        <v>17</v>
      </c>
      <c r="E73" s="15">
        <v>45468</v>
      </c>
      <c r="F73" s="16">
        <v>39301</v>
      </c>
      <c r="G73" s="16">
        <f>((F73-1530)*1.5)+1530+5750</f>
        <v>63936.5</v>
      </c>
      <c r="H73" s="20" t="s">
        <v>649</v>
      </c>
      <c r="I73" s="14" t="s">
        <v>14</v>
      </c>
      <c r="J73" s="19" t="s">
        <v>449</v>
      </c>
      <c r="K73" s="15"/>
      <c r="L73" s="3" t="s">
        <v>650</v>
      </c>
      <c r="M73" s="5"/>
      <c r="N73" s="5"/>
      <c r="O73" s="6"/>
      <c r="P73" s="7"/>
      <c r="Q73" s="18"/>
      <c r="R73" s="18"/>
      <c r="S73" s="18"/>
      <c r="T73" s="18"/>
      <c r="U73" s="18"/>
      <c r="V73" s="18"/>
      <c r="W73" s="18"/>
      <c r="X73" s="18"/>
      <c r="Y73" s="18"/>
    </row>
    <row r="74" spans="1:26" ht="14.25" customHeight="1" x14ac:dyDescent="0.35">
      <c r="A74" s="12">
        <v>45791</v>
      </c>
      <c r="B74" s="13">
        <v>13981</v>
      </c>
      <c r="C74" s="14" t="s">
        <v>11</v>
      </c>
      <c r="D74" s="13" t="s">
        <v>30</v>
      </c>
      <c r="E74" s="15">
        <v>45756</v>
      </c>
      <c r="F74" s="16">
        <v>56839</v>
      </c>
      <c r="G74" s="16">
        <f>((F74-3469)*1.45)+3469+11250</f>
        <v>92105.5</v>
      </c>
      <c r="H74" s="68" t="s">
        <v>651</v>
      </c>
      <c r="I74" s="14" t="s">
        <v>14</v>
      </c>
      <c r="J74" s="14">
        <v>3377768</v>
      </c>
      <c r="K74" s="15"/>
      <c r="L74" s="5"/>
      <c r="M74" s="17">
        <v>45797</v>
      </c>
      <c r="N74" s="5">
        <f>M74-E74</f>
        <v>41</v>
      </c>
      <c r="O74" s="6">
        <v>98900</v>
      </c>
      <c r="P74" s="6">
        <f>O74-G74</f>
        <v>6794.5</v>
      </c>
      <c r="Q74" s="18"/>
      <c r="R74" s="18"/>
      <c r="S74" s="18"/>
      <c r="T74" s="18"/>
      <c r="U74" s="18"/>
      <c r="V74" s="18"/>
      <c r="W74" s="18"/>
      <c r="X74" s="18"/>
      <c r="Y74" s="18"/>
    </row>
    <row r="75" spans="1:26" ht="14.25" customHeight="1" x14ac:dyDescent="0.35">
      <c r="A75" s="12">
        <v>45790</v>
      </c>
      <c r="B75" s="13">
        <v>25094</v>
      </c>
      <c r="C75" s="14" t="s">
        <v>11</v>
      </c>
      <c r="D75" s="13" t="s">
        <v>652</v>
      </c>
      <c r="E75" s="15">
        <v>45784</v>
      </c>
      <c r="F75" s="16">
        <v>38046</v>
      </c>
      <c r="G75" s="16">
        <f>((F75-1732)*1.45)+1732+5750</f>
        <v>60137.299999999996</v>
      </c>
      <c r="H75" s="68" t="s">
        <v>653</v>
      </c>
      <c r="I75" s="14" t="s">
        <v>14</v>
      </c>
      <c r="J75" s="19" t="s">
        <v>300</v>
      </c>
      <c r="K75" s="15"/>
      <c r="L75" s="5" t="s">
        <v>654</v>
      </c>
      <c r="M75" s="5"/>
      <c r="N75" s="5"/>
      <c r="O75" s="6"/>
      <c r="P75" s="6"/>
      <c r="Q75" s="18"/>
      <c r="R75" s="18"/>
      <c r="S75" s="18"/>
      <c r="T75" s="18"/>
      <c r="U75" s="18"/>
      <c r="V75" s="18"/>
      <c r="W75" s="18"/>
      <c r="X75" s="18"/>
      <c r="Y75" s="18"/>
    </row>
    <row r="76" spans="1:26" ht="14.25" customHeight="1" x14ac:dyDescent="0.35">
      <c r="A76" s="12">
        <v>45785</v>
      </c>
      <c r="B76" s="13">
        <v>32414</v>
      </c>
      <c r="C76" s="14" t="s">
        <v>32</v>
      </c>
      <c r="D76" s="13" t="s">
        <v>655</v>
      </c>
      <c r="E76" s="15">
        <v>45764</v>
      </c>
      <c r="F76" s="16">
        <v>79236</v>
      </c>
      <c r="G76" s="16">
        <f>((F76)*1.45)+4135.2+11250</f>
        <v>130277.4</v>
      </c>
      <c r="H76" s="68" t="s">
        <v>656</v>
      </c>
      <c r="I76" s="14" t="s">
        <v>14</v>
      </c>
      <c r="J76" s="14">
        <v>3394746</v>
      </c>
      <c r="K76" s="15"/>
      <c r="L76" s="5"/>
      <c r="M76" s="17">
        <v>45791</v>
      </c>
      <c r="N76" s="5">
        <f>M76-E76</f>
        <v>27</v>
      </c>
      <c r="O76" s="20" t="s">
        <v>657</v>
      </c>
      <c r="P76" s="6"/>
      <c r="Q76" s="18"/>
      <c r="R76" s="18"/>
      <c r="S76" s="18"/>
      <c r="T76" s="18"/>
      <c r="U76" s="18"/>
      <c r="V76" s="18"/>
      <c r="W76" s="18"/>
      <c r="X76" s="18"/>
      <c r="Y76" s="18"/>
    </row>
    <row r="77" spans="1:26" ht="14.25" customHeight="1" x14ac:dyDescent="0.35">
      <c r="A77" s="12">
        <v>45785</v>
      </c>
      <c r="B77" s="13" t="s">
        <v>658</v>
      </c>
      <c r="C77" s="14" t="s">
        <v>659</v>
      </c>
      <c r="D77" s="13" t="s">
        <v>660</v>
      </c>
      <c r="E77" s="15" t="s">
        <v>661</v>
      </c>
      <c r="F77" s="16"/>
      <c r="G77" s="16">
        <v>47000</v>
      </c>
      <c r="H77" s="13" t="s">
        <v>662</v>
      </c>
      <c r="I77" s="14" t="s">
        <v>36</v>
      </c>
      <c r="J77" s="19" t="s">
        <v>300</v>
      </c>
      <c r="K77" s="15" t="s">
        <v>663</v>
      </c>
      <c r="L77" s="5" t="s">
        <v>664</v>
      </c>
      <c r="M77" s="5"/>
      <c r="N77" s="5"/>
      <c r="O77" s="6"/>
      <c r="P77" s="6"/>
      <c r="Q77" s="18"/>
      <c r="R77" s="18"/>
      <c r="S77" s="18"/>
      <c r="T77" s="18"/>
      <c r="U77" s="18"/>
      <c r="V77" s="18"/>
      <c r="W77" s="18"/>
      <c r="X77" s="18"/>
      <c r="Y77" s="18"/>
    </row>
    <row r="78" spans="1:26" ht="14.25" customHeight="1" x14ac:dyDescent="0.35">
      <c r="A78" s="12">
        <v>45779</v>
      </c>
      <c r="B78" s="13">
        <v>30704</v>
      </c>
      <c r="C78" s="13" t="s">
        <v>57</v>
      </c>
      <c r="D78" s="13" t="s">
        <v>665</v>
      </c>
      <c r="E78" s="15">
        <v>45778</v>
      </c>
      <c r="F78" s="16">
        <v>83130</v>
      </c>
      <c r="G78" s="16">
        <f>((F78-4616)*1.45)+4616+11250</f>
        <v>129711.3</v>
      </c>
      <c r="H78" s="68" t="s">
        <v>666</v>
      </c>
      <c r="I78" s="14" t="s">
        <v>14</v>
      </c>
      <c r="J78" s="14">
        <v>3366041</v>
      </c>
      <c r="K78" s="15"/>
      <c r="L78" s="3"/>
      <c r="M78" s="17">
        <v>45783</v>
      </c>
      <c r="N78" s="5">
        <f>M78-E78</f>
        <v>5</v>
      </c>
      <c r="O78" s="6"/>
      <c r="P78" s="6"/>
      <c r="Q78" s="18"/>
      <c r="R78" s="18"/>
      <c r="S78" s="18"/>
      <c r="T78" s="18"/>
      <c r="U78" s="18"/>
      <c r="V78" s="18"/>
      <c r="W78" s="18"/>
      <c r="X78" s="18"/>
      <c r="Y78" s="18"/>
    </row>
    <row r="79" spans="1:26" ht="14.25" customHeight="1" x14ac:dyDescent="0.35">
      <c r="A79" s="12"/>
      <c r="B79" s="13"/>
      <c r="C79" s="14"/>
      <c r="D79" s="13"/>
      <c r="E79" s="15"/>
      <c r="F79" s="16"/>
      <c r="G79" s="16"/>
      <c r="H79" s="14"/>
      <c r="I79" s="13"/>
      <c r="J79" s="19"/>
      <c r="K79" s="15"/>
      <c r="L79" s="3"/>
      <c r="M79" s="11"/>
      <c r="N79" s="5"/>
      <c r="O79" s="5"/>
      <c r="P79" s="6"/>
      <c r="Q79" s="7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35">
      <c r="A80" s="12">
        <v>45769</v>
      </c>
      <c r="B80" s="13">
        <v>1914</v>
      </c>
      <c r="C80" s="14" t="s">
        <v>572</v>
      </c>
      <c r="D80" s="13" t="s">
        <v>22</v>
      </c>
      <c r="E80" s="15">
        <v>45764</v>
      </c>
      <c r="F80" s="16">
        <v>62179</v>
      </c>
      <c r="G80" s="16">
        <f>((F80)*1.5)+3082+11250</f>
        <v>107600.5</v>
      </c>
      <c r="H80" s="13" t="s">
        <v>667</v>
      </c>
      <c r="I80" s="14" t="s">
        <v>14</v>
      </c>
      <c r="J80" s="14">
        <v>3333536</v>
      </c>
      <c r="K80" s="15"/>
      <c r="L80" s="3"/>
      <c r="M80" s="17">
        <v>45771</v>
      </c>
      <c r="N80" s="5">
        <f>M80-E80</f>
        <v>7</v>
      </c>
      <c r="O80" s="20" t="s">
        <v>25</v>
      </c>
      <c r="P80" s="6"/>
      <c r="Q80" s="18"/>
      <c r="R80" s="18"/>
      <c r="S80" s="18"/>
      <c r="T80" s="18"/>
      <c r="U80" s="18"/>
      <c r="V80" s="18"/>
      <c r="W80" s="18"/>
      <c r="X80" s="18"/>
      <c r="Y80" s="18"/>
    </row>
    <row r="81" spans="1:26" ht="14.25" customHeight="1" x14ac:dyDescent="0.35">
      <c r="A81" s="12">
        <v>45764</v>
      </c>
      <c r="B81" s="13" t="s">
        <v>668</v>
      </c>
      <c r="C81" s="14" t="s">
        <v>669</v>
      </c>
      <c r="D81" s="13"/>
      <c r="E81" s="15"/>
      <c r="F81" s="16"/>
      <c r="G81" s="16">
        <v>39000</v>
      </c>
      <c r="H81" s="13" t="s">
        <v>670</v>
      </c>
      <c r="I81" s="14" t="s">
        <v>14</v>
      </c>
      <c r="J81" s="19" t="s">
        <v>671</v>
      </c>
      <c r="K81" s="15" t="s">
        <v>663</v>
      </c>
      <c r="L81" s="5" t="s">
        <v>672</v>
      </c>
      <c r="M81" s="5"/>
      <c r="N81" s="5"/>
      <c r="O81" s="6"/>
      <c r="P81" s="6"/>
      <c r="Q81" s="18"/>
      <c r="R81" s="18"/>
      <c r="S81" s="18"/>
      <c r="T81" s="18"/>
      <c r="U81" s="18"/>
      <c r="V81" s="18"/>
      <c r="W81" s="18"/>
      <c r="X81" s="18"/>
      <c r="Y81" s="18"/>
    </row>
    <row r="82" spans="1:26" ht="14.25" customHeight="1" x14ac:dyDescent="0.35">
      <c r="A82" s="12">
        <v>45769</v>
      </c>
      <c r="B82" s="13">
        <v>24955</v>
      </c>
      <c r="C82" s="14" t="s">
        <v>11</v>
      </c>
      <c r="D82" s="13" t="s">
        <v>673</v>
      </c>
      <c r="E82" s="15">
        <v>45757</v>
      </c>
      <c r="F82" s="16">
        <v>38826</v>
      </c>
      <c r="G82" s="16">
        <f>((F82-1735)*1.45)+1735+5750</f>
        <v>61266.95</v>
      </c>
      <c r="H82" s="13" t="s">
        <v>674</v>
      </c>
      <c r="I82" s="14" t="s">
        <v>14</v>
      </c>
      <c r="J82" s="14">
        <v>3374009</v>
      </c>
      <c r="K82" s="15"/>
      <c r="L82" s="5"/>
      <c r="M82" s="17">
        <v>45770</v>
      </c>
      <c r="N82" s="5">
        <f>M82-E82</f>
        <v>13</v>
      </c>
      <c r="O82" s="6">
        <v>67000</v>
      </c>
      <c r="P82" s="6">
        <f>O82-G82</f>
        <v>5733.0500000000029</v>
      </c>
      <c r="Q82" s="18"/>
      <c r="R82" s="18"/>
      <c r="S82" s="18"/>
      <c r="T82" s="18"/>
      <c r="U82" s="18"/>
      <c r="V82" s="18"/>
      <c r="W82" s="18"/>
      <c r="X82" s="18"/>
      <c r="Y82" s="18"/>
    </row>
    <row r="83" spans="1:26" ht="14.25" customHeight="1" x14ac:dyDescent="0.35">
      <c r="A83" s="12">
        <v>45757</v>
      </c>
      <c r="B83" s="13">
        <v>22434</v>
      </c>
      <c r="C83" s="14" t="s">
        <v>11</v>
      </c>
      <c r="D83" s="13" t="s">
        <v>675</v>
      </c>
      <c r="E83" s="15">
        <v>45405</v>
      </c>
      <c r="F83" s="16">
        <v>36201</v>
      </c>
      <c r="G83" s="16">
        <f>((F83-1320)*1.5)+1320+5750</f>
        <v>59391.5</v>
      </c>
      <c r="H83" s="14" t="s">
        <v>676</v>
      </c>
      <c r="I83" s="14" t="s">
        <v>14</v>
      </c>
      <c r="J83" s="19" t="s">
        <v>449</v>
      </c>
      <c r="K83" s="15"/>
      <c r="L83" s="3" t="s">
        <v>677</v>
      </c>
      <c r="M83" s="6">
        <v>35476.980000000003</v>
      </c>
      <c r="N83" s="6">
        <f>F83-M83</f>
        <v>724.0199999999968</v>
      </c>
      <c r="O83" s="6"/>
      <c r="P83" s="7"/>
      <c r="Q83" s="18"/>
      <c r="R83" s="18"/>
      <c r="S83" s="18"/>
      <c r="T83" s="18"/>
      <c r="U83" s="18"/>
      <c r="V83" s="18"/>
      <c r="W83" s="18"/>
      <c r="X83" s="18"/>
      <c r="Y83" s="18"/>
    </row>
    <row r="84" spans="1:26" ht="14.25" customHeight="1" x14ac:dyDescent="0.35">
      <c r="A84" s="12">
        <v>45761</v>
      </c>
      <c r="B84" s="13">
        <v>23876</v>
      </c>
      <c r="C84" s="14" t="s">
        <v>11</v>
      </c>
      <c r="D84" s="13" t="s">
        <v>673</v>
      </c>
      <c r="E84" s="15">
        <v>45614</v>
      </c>
      <c r="F84" s="16">
        <v>35683</v>
      </c>
      <c r="G84" s="16">
        <f>((F84-1500)*1.5)+1500+5750</f>
        <v>58524.5</v>
      </c>
      <c r="H84" s="14" t="s">
        <v>678</v>
      </c>
      <c r="I84" s="14" t="s">
        <v>14</v>
      </c>
      <c r="J84" s="19">
        <v>3377412</v>
      </c>
      <c r="K84" s="15"/>
      <c r="L84" s="3"/>
      <c r="M84" s="17">
        <v>45792</v>
      </c>
      <c r="N84" s="5">
        <f>M84-E84</f>
        <v>178</v>
      </c>
      <c r="O84" s="6">
        <v>62000</v>
      </c>
      <c r="P84" s="6">
        <f>O84-G84</f>
        <v>3475.5</v>
      </c>
      <c r="Q84" s="18"/>
      <c r="R84" s="18"/>
      <c r="S84" s="18"/>
      <c r="T84" s="18"/>
      <c r="U84" s="18"/>
      <c r="V84" s="18"/>
      <c r="W84" s="18"/>
      <c r="X84" s="18"/>
      <c r="Y84" s="18"/>
    </row>
    <row r="85" spans="1:26" ht="14.25" customHeight="1" x14ac:dyDescent="0.35">
      <c r="A85" s="12">
        <v>45726</v>
      </c>
      <c r="B85" s="13">
        <v>22366</v>
      </c>
      <c r="C85" s="14" t="s">
        <v>11</v>
      </c>
      <c r="D85" s="13" t="s">
        <v>17</v>
      </c>
      <c r="E85" s="15">
        <v>45394</v>
      </c>
      <c r="F85" s="16">
        <v>38882</v>
      </c>
      <c r="G85" s="16">
        <f>((F85-1320)*1.5)+1320+5750</f>
        <v>63413</v>
      </c>
      <c r="H85" s="13" t="s">
        <v>679</v>
      </c>
      <c r="I85" s="14" t="s">
        <v>212</v>
      </c>
      <c r="J85" s="19" t="s">
        <v>300</v>
      </c>
      <c r="K85" s="15" t="s">
        <v>663</v>
      </c>
      <c r="L85" s="13" t="s">
        <v>680</v>
      </c>
      <c r="M85" s="5"/>
      <c r="N85" s="6"/>
      <c r="O85" s="6"/>
      <c r="P85" s="7"/>
      <c r="Q85" s="18"/>
      <c r="R85" s="18"/>
      <c r="S85" s="18"/>
      <c r="T85" s="18"/>
      <c r="U85" s="18"/>
      <c r="V85" s="18"/>
      <c r="W85" s="18"/>
      <c r="X85" s="18"/>
      <c r="Y85" s="18"/>
    </row>
    <row r="86" spans="1:26" ht="14.25" customHeight="1" x14ac:dyDescent="0.35">
      <c r="A86" s="12">
        <v>45754</v>
      </c>
      <c r="B86" s="13">
        <v>13970</v>
      </c>
      <c r="C86" s="14" t="s">
        <v>11</v>
      </c>
      <c r="D86" s="13" t="s">
        <v>681</v>
      </c>
      <c r="E86" s="15">
        <v>45754</v>
      </c>
      <c r="F86" s="16">
        <v>56748</v>
      </c>
      <c r="G86" s="16">
        <f t="shared" ref="G86:G87" si="8">((F86-3469)*1.45)+3469+11250</f>
        <v>91973.55</v>
      </c>
      <c r="H86" s="13" t="s">
        <v>682</v>
      </c>
      <c r="I86" s="14" t="s">
        <v>14</v>
      </c>
      <c r="J86" s="14">
        <v>3387253</v>
      </c>
      <c r="K86" s="15"/>
      <c r="L86" s="5"/>
      <c r="M86" s="17">
        <v>45755</v>
      </c>
      <c r="N86" s="5">
        <f t="shared" ref="N86:N89" si="9">M86-E86</f>
        <v>1</v>
      </c>
      <c r="O86" s="6">
        <v>92900</v>
      </c>
      <c r="P86" s="6">
        <f t="shared" ref="P86:P87" si="10">O86-G86</f>
        <v>926.44999999999709</v>
      </c>
      <c r="Q86" s="18"/>
      <c r="R86" s="18"/>
      <c r="S86" s="18"/>
      <c r="T86" s="18"/>
      <c r="U86" s="18"/>
      <c r="V86" s="18"/>
      <c r="W86" s="18"/>
      <c r="X86" s="18"/>
      <c r="Y86" s="18"/>
    </row>
    <row r="87" spans="1:26" ht="14.25" customHeight="1" x14ac:dyDescent="0.35">
      <c r="A87" s="12">
        <v>45755</v>
      </c>
      <c r="B87" s="13">
        <v>13965</v>
      </c>
      <c r="C87" s="14" t="s">
        <v>11</v>
      </c>
      <c r="D87" s="13" t="s">
        <v>30</v>
      </c>
      <c r="E87" s="15">
        <v>45755</v>
      </c>
      <c r="F87" s="16">
        <v>56748</v>
      </c>
      <c r="G87" s="16">
        <f t="shared" si="8"/>
        <v>91973.55</v>
      </c>
      <c r="H87" s="13" t="s">
        <v>683</v>
      </c>
      <c r="I87" s="14" t="s">
        <v>14</v>
      </c>
      <c r="J87" s="14">
        <v>3383859</v>
      </c>
      <c r="K87" s="15"/>
      <c r="L87" s="5"/>
      <c r="M87" s="17">
        <v>45757</v>
      </c>
      <c r="N87" s="5">
        <f t="shared" si="9"/>
        <v>2</v>
      </c>
      <c r="O87" s="6">
        <v>102500</v>
      </c>
      <c r="P87" s="6">
        <f t="shared" si="10"/>
        <v>10526.449999999997</v>
      </c>
      <c r="Q87" s="18"/>
      <c r="R87" s="18"/>
      <c r="S87" s="18"/>
      <c r="T87" s="18"/>
      <c r="U87" s="18"/>
      <c r="V87" s="18"/>
      <c r="W87" s="18"/>
      <c r="X87" s="18"/>
      <c r="Y87" s="18"/>
    </row>
    <row r="88" spans="1:26" ht="14.25" customHeight="1" x14ac:dyDescent="0.35">
      <c r="A88" s="12">
        <v>45755</v>
      </c>
      <c r="B88" s="69" t="s">
        <v>684</v>
      </c>
      <c r="C88" s="14" t="s">
        <v>572</v>
      </c>
      <c r="D88" s="13" t="s">
        <v>685</v>
      </c>
      <c r="E88" s="15">
        <v>45698</v>
      </c>
      <c r="F88" s="16">
        <v>58009</v>
      </c>
      <c r="G88" s="16">
        <f>((F88)*1.5)+1861.5+5750</f>
        <v>94625</v>
      </c>
      <c r="H88" s="13" t="s">
        <v>686</v>
      </c>
      <c r="I88" s="14" t="s">
        <v>36</v>
      </c>
      <c r="J88" s="14">
        <v>3405711</v>
      </c>
      <c r="K88" s="15"/>
      <c r="L88" s="5"/>
      <c r="M88" s="17">
        <v>45756</v>
      </c>
      <c r="N88" s="5">
        <f t="shared" si="9"/>
        <v>58</v>
      </c>
      <c r="O88" s="20" t="s">
        <v>687</v>
      </c>
      <c r="P88" s="6"/>
      <c r="Q88" s="18"/>
      <c r="R88" s="18"/>
      <c r="S88" s="18"/>
      <c r="T88" s="18"/>
      <c r="U88" s="18"/>
      <c r="V88" s="18"/>
      <c r="W88" s="18"/>
      <c r="X88" s="18"/>
      <c r="Y88" s="18"/>
    </row>
    <row r="89" spans="1:26" ht="14.25" customHeight="1" x14ac:dyDescent="0.35">
      <c r="A89" s="12">
        <v>45748</v>
      </c>
      <c r="B89" s="13">
        <v>11183</v>
      </c>
      <c r="C89" s="14" t="s">
        <v>11</v>
      </c>
      <c r="D89" s="13" t="s">
        <v>30</v>
      </c>
      <c r="E89" s="15">
        <v>45650</v>
      </c>
      <c r="F89" s="16">
        <v>52999</v>
      </c>
      <c r="G89" s="16">
        <f>((F89-3454)*1.5)+3454+11250</f>
        <v>89021.5</v>
      </c>
      <c r="H89" s="13" t="s">
        <v>688</v>
      </c>
      <c r="I89" s="14" t="s">
        <v>14</v>
      </c>
      <c r="J89" s="14">
        <v>3388974</v>
      </c>
      <c r="K89" s="15"/>
      <c r="L89" s="5" t="s">
        <v>689</v>
      </c>
      <c r="M89" s="17">
        <v>45755</v>
      </c>
      <c r="N89" s="5">
        <f t="shared" si="9"/>
        <v>105</v>
      </c>
      <c r="O89" s="6">
        <v>91900</v>
      </c>
      <c r="P89" s="6">
        <f>O89-G89</f>
        <v>2878.5</v>
      </c>
      <c r="Q89" s="18"/>
      <c r="R89" s="18"/>
      <c r="S89" s="18"/>
      <c r="T89" s="18"/>
      <c r="U89" s="18"/>
      <c r="V89" s="18"/>
      <c r="W89" s="18"/>
      <c r="X89" s="18"/>
      <c r="Y89" s="18"/>
    </row>
    <row r="90" spans="1:26" ht="14.25" customHeight="1" x14ac:dyDescent="0.35">
      <c r="A90" s="12"/>
      <c r="B90" s="13"/>
      <c r="C90" s="14"/>
      <c r="D90" s="13"/>
      <c r="E90" s="15"/>
      <c r="F90" s="16"/>
      <c r="G90" s="16"/>
      <c r="H90" s="14"/>
      <c r="I90" s="13"/>
      <c r="J90" s="19"/>
      <c r="K90" s="15"/>
      <c r="L90" s="3"/>
      <c r="M90" s="11"/>
      <c r="N90" s="5"/>
      <c r="O90" s="5"/>
      <c r="P90" s="6"/>
      <c r="Q90" s="7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35">
      <c r="A91" s="12">
        <v>45747</v>
      </c>
      <c r="B91" s="13">
        <v>8911</v>
      </c>
      <c r="C91" s="14" t="s">
        <v>572</v>
      </c>
      <c r="D91" s="13" t="s">
        <v>685</v>
      </c>
      <c r="E91" s="15">
        <v>45742</v>
      </c>
      <c r="F91" s="16">
        <v>58009</v>
      </c>
      <c r="G91" s="16">
        <f>((F91)*1.5)+1861.5+5750</f>
        <v>94625</v>
      </c>
      <c r="H91" s="13" t="s">
        <v>690</v>
      </c>
      <c r="I91" s="14" t="s">
        <v>14</v>
      </c>
      <c r="J91" s="14">
        <v>3381908</v>
      </c>
      <c r="K91" s="15"/>
      <c r="L91" s="20" t="s">
        <v>687</v>
      </c>
      <c r="M91" s="17">
        <v>45747</v>
      </c>
      <c r="N91" s="5">
        <f t="shared" ref="N91:N93" si="11">M91-E91</f>
        <v>5</v>
      </c>
      <c r="O91" s="6">
        <v>101000</v>
      </c>
      <c r="P91" s="6">
        <f t="shared" ref="P91:P93" si="12">O91-G91</f>
        <v>6375</v>
      </c>
      <c r="Q91" s="18"/>
      <c r="R91" s="18"/>
      <c r="S91" s="18"/>
      <c r="T91" s="18"/>
      <c r="U91" s="18"/>
      <c r="V91" s="18"/>
      <c r="W91" s="18"/>
      <c r="X91" s="18"/>
      <c r="Y91" s="18"/>
    </row>
    <row r="92" spans="1:26" ht="14.25" customHeight="1" x14ac:dyDescent="0.35">
      <c r="A92" s="12">
        <v>45743</v>
      </c>
      <c r="B92" s="13">
        <v>24112</v>
      </c>
      <c r="C92" s="14" t="s">
        <v>11</v>
      </c>
      <c r="D92" s="13" t="s">
        <v>12</v>
      </c>
      <c r="E92" s="15">
        <v>45649</v>
      </c>
      <c r="F92" s="16">
        <v>66122</v>
      </c>
      <c r="G92" s="16">
        <f>((F92-3026)*1.5)+3026+11250</f>
        <v>108920</v>
      </c>
      <c r="H92" s="13" t="s">
        <v>13</v>
      </c>
      <c r="I92" s="14" t="s">
        <v>14</v>
      </c>
      <c r="J92" s="14">
        <v>3361513</v>
      </c>
      <c r="K92" s="15" t="s">
        <v>15</v>
      </c>
      <c r="L92" s="3" t="s">
        <v>16</v>
      </c>
      <c r="M92" s="17">
        <v>45743</v>
      </c>
      <c r="N92" s="5">
        <f>M92-E92</f>
        <v>94</v>
      </c>
      <c r="O92" s="6"/>
      <c r="P92" s="6"/>
      <c r="Q92" s="18"/>
      <c r="R92" s="18"/>
      <c r="S92" s="18"/>
      <c r="T92" s="18"/>
      <c r="U92" s="18"/>
      <c r="V92" s="18"/>
      <c r="W92" s="18"/>
      <c r="X92" s="18"/>
      <c r="Y92" s="18"/>
    </row>
    <row r="93" spans="1:26" ht="14.25" customHeight="1" x14ac:dyDescent="0.35">
      <c r="A93" s="12">
        <v>45740</v>
      </c>
      <c r="B93" s="13">
        <v>24509</v>
      </c>
      <c r="C93" s="14" t="s">
        <v>11</v>
      </c>
      <c r="D93" s="13" t="s">
        <v>691</v>
      </c>
      <c r="E93" s="15">
        <v>45734</v>
      </c>
      <c r="F93" s="16">
        <v>41621</v>
      </c>
      <c r="G93" s="16">
        <f>((F93-1740)*1.45)+1740+5750</f>
        <v>65317.45</v>
      </c>
      <c r="H93" s="13" t="s">
        <v>692</v>
      </c>
      <c r="I93" s="14" t="s">
        <v>14</v>
      </c>
      <c r="J93" s="14">
        <v>3369707</v>
      </c>
      <c r="K93" s="15"/>
      <c r="L93" s="5"/>
      <c r="M93" s="17">
        <v>45743</v>
      </c>
      <c r="N93" s="5">
        <f t="shared" si="11"/>
        <v>9</v>
      </c>
      <c r="O93" s="6">
        <v>73900</v>
      </c>
      <c r="P93" s="6">
        <f t="shared" si="12"/>
        <v>8582.5500000000029</v>
      </c>
      <c r="Q93" s="18"/>
      <c r="R93" s="18"/>
      <c r="S93" s="18"/>
      <c r="T93" s="18"/>
      <c r="U93" s="18"/>
      <c r="V93" s="18"/>
      <c r="W93" s="18"/>
      <c r="X93" s="18"/>
      <c r="Y93" s="18"/>
    </row>
    <row r="94" spans="1:26" ht="14.25" customHeight="1" x14ac:dyDescent="0.35">
      <c r="A94" s="12">
        <v>45742</v>
      </c>
      <c r="B94" s="13">
        <v>13398</v>
      </c>
      <c r="C94" s="14" t="s">
        <v>11</v>
      </c>
      <c r="D94" s="13" t="s">
        <v>30</v>
      </c>
      <c r="E94" s="15">
        <v>45621</v>
      </c>
      <c r="F94" s="16">
        <v>53004</v>
      </c>
      <c r="G94" s="16">
        <f>((F94-3026)*1.5)+3026+11250</f>
        <v>89243</v>
      </c>
      <c r="H94" s="13" t="s">
        <v>693</v>
      </c>
      <c r="I94" s="14" t="s">
        <v>19</v>
      </c>
      <c r="J94" s="19" t="s">
        <v>300</v>
      </c>
      <c r="K94" s="15" t="s">
        <v>694</v>
      </c>
      <c r="L94" s="14" t="s">
        <v>695</v>
      </c>
      <c r="N94" s="5"/>
      <c r="O94" s="6"/>
      <c r="P94" s="7"/>
      <c r="Q94" s="18"/>
      <c r="R94" s="18"/>
      <c r="S94" s="18"/>
      <c r="T94" s="18"/>
      <c r="U94" s="18"/>
      <c r="V94" s="18"/>
      <c r="W94" s="18"/>
      <c r="X94" s="18"/>
      <c r="Y94" s="18"/>
    </row>
    <row r="95" spans="1:26" ht="14.25" customHeight="1" x14ac:dyDescent="0.35">
      <c r="A95" s="12">
        <v>45733</v>
      </c>
      <c r="B95" s="13">
        <v>2212</v>
      </c>
      <c r="C95" s="14" t="s">
        <v>696</v>
      </c>
      <c r="D95" s="14" t="s">
        <v>697</v>
      </c>
      <c r="E95" s="15">
        <v>45195</v>
      </c>
      <c r="F95" s="63">
        <v>78888.78</v>
      </c>
      <c r="G95" s="16">
        <f>((F95-5800)*1.45)+5800+11250</f>
        <v>123028.731</v>
      </c>
      <c r="H95" s="13" t="s">
        <v>698</v>
      </c>
      <c r="I95" s="14" t="s">
        <v>14</v>
      </c>
      <c r="J95" s="14">
        <v>3356080</v>
      </c>
      <c r="K95" s="15"/>
      <c r="L95" s="59" t="s">
        <v>699</v>
      </c>
      <c r="M95" s="11">
        <v>45734</v>
      </c>
      <c r="N95" s="5">
        <f t="shared" ref="N95:N98" si="13">M95-E95</f>
        <v>539</v>
      </c>
      <c r="O95" s="6">
        <v>133000</v>
      </c>
      <c r="P95" s="6">
        <f t="shared" ref="P95:P97" si="14">O95-G95</f>
        <v>9971.2690000000002</v>
      </c>
      <c r="Q95" s="18"/>
      <c r="R95" s="18"/>
      <c r="S95" s="18"/>
      <c r="T95" s="18"/>
      <c r="U95" s="18"/>
      <c r="V95" s="18"/>
      <c r="W95" s="18"/>
      <c r="X95" s="18"/>
      <c r="Y95" s="18"/>
    </row>
    <row r="96" spans="1:26" ht="14.25" customHeight="1" x14ac:dyDescent="0.35">
      <c r="A96" s="12">
        <v>45730</v>
      </c>
      <c r="B96" s="13">
        <v>13217</v>
      </c>
      <c r="C96" s="14" t="s">
        <v>11</v>
      </c>
      <c r="D96" s="13" t="s">
        <v>700</v>
      </c>
      <c r="E96" s="15">
        <v>45575</v>
      </c>
      <c r="F96" s="16">
        <v>57623</v>
      </c>
      <c r="G96" s="16">
        <f t="shared" ref="G96:G97" si="15">((F96-3026)*1.5)+3026+11250</f>
        <v>96171.5</v>
      </c>
      <c r="H96" s="13" t="s">
        <v>701</v>
      </c>
      <c r="I96" s="14" t="s">
        <v>14</v>
      </c>
      <c r="J96" s="19">
        <v>3373062</v>
      </c>
      <c r="K96" s="15"/>
      <c r="L96" s="3"/>
      <c r="M96" s="11">
        <v>45734</v>
      </c>
      <c r="N96" s="5">
        <f t="shared" si="13"/>
        <v>159</v>
      </c>
      <c r="O96" s="6">
        <v>105000</v>
      </c>
      <c r="P96" s="6">
        <f t="shared" si="14"/>
        <v>8828.5</v>
      </c>
      <c r="Q96" s="18"/>
      <c r="R96" s="18"/>
      <c r="S96" s="18"/>
      <c r="T96" s="18"/>
      <c r="U96" s="18"/>
      <c r="V96" s="18"/>
      <c r="W96" s="18"/>
      <c r="X96" s="18"/>
      <c r="Y96" s="18"/>
    </row>
    <row r="97" spans="1:26" ht="14.25" customHeight="1" x14ac:dyDescent="0.35">
      <c r="A97" s="12">
        <v>45724</v>
      </c>
      <c r="B97" s="13">
        <v>24008</v>
      </c>
      <c r="C97" s="14" t="s">
        <v>11</v>
      </c>
      <c r="D97" s="13" t="s">
        <v>30</v>
      </c>
      <c r="E97" s="15">
        <v>45638</v>
      </c>
      <c r="F97" s="16">
        <v>53009</v>
      </c>
      <c r="G97" s="16">
        <f t="shared" si="15"/>
        <v>89250.5</v>
      </c>
      <c r="H97" s="13" t="s">
        <v>702</v>
      </c>
      <c r="I97" s="14" t="s">
        <v>14</v>
      </c>
      <c r="J97" s="14">
        <v>3373170</v>
      </c>
      <c r="K97" s="15"/>
      <c r="L97" s="5" t="s">
        <v>703</v>
      </c>
      <c r="M97" s="11">
        <v>45727</v>
      </c>
      <c r="N97" s="3">
        <f t="shared" si="13"/>
        <v>89</v>
      </c>
      <c r="O97" s="6">
        <v>99500</v>
      </c>
      <c r="P97" s="6">
        <f t="shared" si="14"/>
        <v>10249.5</v>
      </c>
      <c r="Q97" s="18"/>
      <c r="R97" s="18"/>
      <c r="S97" s="18"/>
      <c r="T97" s="18"/>
      <c r="U97" s="18"/>
      <c r="V97" s="18"/>
      <c r="W97" s="18"/>
      <c r="X97" s="18"/>
      <c r="Y97" s="18"/>
    </row>
    <row r="98" spans="1:26" ht="14.25" customHeight="1" x14ac:dyDescent="0.35">
      <c r="A98" s="12">
        <v>45716</v>
      </c>
      <c r="B98" s="13">
        <v>22960</v>
      </c>
      <c r="C98" s="14" t="s">
        <v>11</v>
      </c>
      <c r="D98" s="13" t="s">
        <v>704</v>
      </c>
      <c r="E98" s="15">
        <v>45539</v>
      </c>
      <c r="F98" s="16">
        <v>30206</v>
      </c>
      <c r="G98" s="16">
        <f>((F98-1724)*1.5)+1724+5750</f>
        <v>50197</v>
      </c>
      <c r="H98" s="13" t="s">
        <v>705</v>
      </c>
      <c r="I98" s="14" t="s">
        <v>36</v>
      </c>
      <c r="J98" s="14">
        <v>3361001</v>
      </c>
      <c r="K98" s="15"/>
      <c r="L98" s="3" t="s">
        <v>706</v>
      </c>
      <c r="M98" s="11">
        <v>45721</v>
      </c>
      <c r="N98" s="5">
        <f t="shared" si="13"/>
        <v>182</v>
      </c>
      <c r="O98" s="6"/>
      <c r="P98" s="7"/>
      <c r="Q98" s="18"/>
      <c r="R98" s="18"/>
      <c r="S98" s="18"/>
      <c r="T98" s="18"/>
      <c r="U98" s="18"/>
      <c r="V98" s="18"/>
      <c r="W98" s="18"/>
      <c r="X98" s="18"/>
      <c r="Y98" s="18"/>
    </row>
    <row r="99" spans="1:26" ht="14.25" customHeight="1" x14ac:dyDescent="0.35">
      <c r="A99" s="12"/>
      <c r="B99" s="13"/>
      <c r="C99" s="14"/>
      <c r="D99" s="13"/>
      <c r="E99" s="15"/>
      <c r="F99" s="16"/>
      <c r="G99" s="16"/>
      <c r="H99" s="14"/>
      <c r="I99" s="13"/>
      <c r="J99" s="19"/>
      <c r="K99" s="15"/>
      <c r="L99" s="3"/>
      <c r="M99" s="11"/>
      <c r="N99" s="5"/>
      <c r="O99" s="5"/>
      <c r="P99" s="6"/>
      <c r="Q99" s="7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 x14ac:dyDescent="0.35">
      <c r="A100" s="12">
        <v>45714</v>
      </c>
      <c r="B100" s="13">
        <v>13470</v>
      </c>
      <c r="C100" s="14" t="s">
        <v>11</v>
      </c>
      <c r="D100" s="13" t="s">
        <v>37</v>
      </c>
      <c r="E100" s="15">
        <v>45637</v>
      </c>
      <c r="F100" s="16">
        <v>48904</v>
      </c>
      <c r="G100" s="16">
        <f>((F100-3454)*1.5)+3454+11250</f>
        <v>82879</v>
      </c>
      <c r="H100" s="13" t="s">
        <v>707</v>
      </c>
      <c r="I100" s="14" t="s">
        <v>14</v>
      </c>
      <c r="J100" s="14">
        <v>3361498</v>
      </c>
      <c r="K100" s="15"/>
      <c r="L100" s="3" t="s">
        <v>708</v>
      </c>
      <c r="M100" s="11">
        <v>45716</v>
      </c>
      <c r="N100" s="5">
        <f t="shared" ref="N100:N101" si="16">M100-E100</f>
        <v>79</v>
      </c>
      <c r="O100" s="6">
        <v>86900</v>
      </c>
      <c r="P100" s="6">
        <f t="shared" ref="P100:P101" si="17">O100-G100</f>
        <v>4021</v>
      </c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6" ht="14.25" customHeight="1" x14ac:dyDescent="0.35">
      <c r="A101" s="12">
        <v>45710</v>
      </c>
      <c r="B101" s="13">
        <v>23064</v>
      </c>
      <c r="C101" s="14" t="s">
        <v>11</v>
      </c>
      <c r="D101" s="13" t="s">
        <v>29</v>
      </c>
      <c r="E101" s="15">
        <v>45650</v>
      </c>
      <c r="F101" s="16">
        <v>33565</v>
      </c>
      <c r="G101" s="16">
        <f>((F101-1727)*1.5)+1727+5750</f>
        <v>55234</v>
      </c>
      <c r="H101" s="13" t="s">
        <v>709</v>
      </c>
      <c r="I101" s="14" t="s">
        <v>710</v>
      </c>
      <c r="J101" s="14">
        <v>3331260</v>
      </c>
      <c r="K101" s="15"/>
      <c r="L101" s="59"/>
      <c r="M101" s="11">
        <v>45714</v>
      </c>
      <c r="N101" s="5">
        <f t="shared" si="16"/>
        <v>64</v>
      </c>
      <c r="O101" s="6">
        <v>51000</v>
      </c>
      <c r="P101" s="6">
        <f t="shared" si="17"/>
        <v>-4234</v>
      </c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6" ht="14.25" customHeight="1" x14ac:dyDescent="0.35">
      <c r="A102" s="12">
        <v>45689</v>
      </c>
      <c r="B102" s="13">
        <v>1564</v>
      </c>
      <c r="C102" s="14" t="s">
        <v>636</v>
      </c>
      <c r="D102" s="14" t="s">
        <v>711</v>
      </c>
      <c r="E102" s="15">
        <v>44678</v>
      </c>
      <c r="F102" s="16">
        <v>72412.149999999994</v>
      </c>
      <c r="G102" s="16">
        <f>((F102-4652)*1.45)+4652+5750</f>
        <v>108654.21749999998</v>
      </c>
      <c r="H102" s="14" t="s">
        <v>712</v>
      </c>
      <c r="I102" s="14" t="s">
        <v>31</v>
      </c>
      <c r="J102" s="19" t="s">
        <v>300</v>
      </c>
      <c r="K102" s="19"/>
      <c r="L102" s="20" t="s">
        <v>713</v>
      </c>
      <c r="M102" s="26">
        <v>39102.629999999997</v>
      </c>
      <c r="N102" s="22">
        <f>F102-M102</f>
        <v>33309.519999999997</v>
      </c>
      <c r="O102" s="26"/>
      <c r="P102" s="26"/>
      <c r="Q102" s="3"/>
      <c r="R102" s="3"/>
      <c r="S102" s="5"/>
      <c r="T102" s="5"/>
      <c r="U102" s="5"/>
      <c r="V102" s="5"/>
      <c r="W102" s="5"/>
      <c r="X102" s="5"/>
      <c r="Y102" s="5"/>
    </row>
    <row r="103" spans="1:26" ht="14.25" customHeight="1" x14ac:dyDescent="0.35">
      <c r="A103" s="12">
        <v>45699</v>
      </c>
      <c r="B103" s="13">
        <v>28153</v>
      </c>
      <c r="C103" s="14" t="s">
        <v>57</v>
      </c>
      <c r="D103" s="13" t="s">
        <v>714</v>
      </c>
      <c r="E103" s="15">
        <v>45685</v>
      </c>
      <c r="F103" s="16">
        <v>82906</v>
      </c>
      <c r="G103" s="16">
        <f t="shared" ref="G103:G104" si="18">((F103-4591)*1.45)+4591+11250</f>
        <v>129397.75</v>
      </c>
      <c r="H103" s="13" t="s">
        <v>715</v>
      </c>
      <c r="I103" s="14" t="s">
        <v>14</v>
      </c>
      <c r="J103" s="14">
        <v>3341973</v>
      </c>
      <c r="K103" s="15"/>
      <c r="L103" s="3" t="s">
        <v>716</v>
      </c>
      <c r="M103" s="11">
        <v>45705</v>
      </c>
      <c r="N103" s="5">
        <f t="shared" ref="N103:N106" si="19">M103-E103</f>
        <v>20</v>
      </c>
      <c r="O103" s="6">
        <v>128000</v>
      </c>
      <c r="P103" s="6">
        <f t="shared" ref="P103:P104" si="20">O103-G103</f>
        <v>-1397.75</v>
      </c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6" ht="14.25" customHeight="1" x14ac:dyDescent="0.35">
      <c r="A104" s="12">
        <v>45702</v>
      </c>
      <c r="B104" s="13">
        <v>28154</v>
      </c>
      <c r="C104" s="14" t="s">
        <v>57</v>
      </c>
      <c r="D104" s="14" t="s">
        <v>717</v>
      </c>
      <c r="E104" s="15">
        <v>45684</v>
      </c>
      <c r="F104" s="16">
        <v>94145</v>
      </c>
      <c r="G104" s="16">
        <f t="shared" si="18"/>
        <v>145694.29999999999</v>
      </c>
      <c r="H104" s="13" t="s">
        <v>718</v>
      </c>
      <c r="I104" s="14" t="s">
        <v>14</v>
      </c>
      <c r="J104" s="14">
        <v>3344247</v>
      </c>
      <c r="K104" s="15"/>
      <c r="L104" s="3"/>
      <c r="M104" s="11">
        <v>45708</v>
      </c>
      <c r="N104" s="5">
        <f t="shared" si="19"/>
        <v>24</v>
      </c>
      <c r="O104" s="6">
        <v>151000</v>
      </c>
      <c r="P104" s="6">
        <f t="shared" si="20"/>
        <v>5305.7000000000116</v>
      </c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6" ht="14.25" customHeight="1" x14ac:dyDescent="0.35">
      <c r="A105" s="12">
        <v>45692</v>
      </c>
      <c r="B105" s="13">
        <v>24140</v>
      </c>
      <c r="C105" s="14" t="s">
        <v>11</v>
      </c>
      <c r="D105" s="13" t="s">
        <v>29</v>
      </c>
      <c r="E105" s="15">
        <v>45667</v>
      </c>
      <c r="F105" s="16">
        <v>33862</v>
      </c>
      <c r="G105" s="16">
        <f>((F105-1727)*1.5)+1727+5750</f>
        <v>55679.5</v>
      </c>
      <c r="H105" s="13" t="s">
        <v>719</v>
      </c>
      <c r="I105" s="14" t="s">
        <v>31</v>
      </c>
      <c r="J105" s="19">
        <v>3349101</v>
      </c>
      <c r="K105" s="15"/>
      <c r="L105" s="5"/>
      <c r="M105" s="11">
        <v>45699</v>
      </c>
      <c r="N105" s="5">
        <f t="shared" si="19"/>
        <v>32</v>
      </c>
      <c r="O105" s="5"/>
      <c r="P105" s="6">
        <v>55000</v>
      </c>
      <c r="Q105" s="6">
        <f t="shared" ref="Q105:Q106" si="21">P105-G105</f>
        <v>-679.5</v>
      </c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 x14ac:dyDescent="0.35">
      <c r="A106" s="12">
        <v>45691</v>
      </c>
      <c r="B106" s="13">
        <v>28148</v>
      </c>
      <c r="C106" s="14" t="s">
        <v>57</v>
      </c>
      <c r="D106" s="14" t="s">
        <v>720</v>
      </c>
      <c r="E106" s="15">
        <v>45684</v>
      </c>
      <c r="F106" s="16">
        <v>82454</v>
      </c>
      <c r="G106" s="16">
        <f>((F106-4591)*1.45)+4591+11250</f>
        <v>128742.34999999999</v>
      </c>
      <c r="H106" s="13" t="s">
        <v>721</v>
      </c>
      <c r="I106" s="14" t="s">
        <v>14</v>
      </c>
      <c r="J106" s="14">
        <v>3342630</v>
      </c>
      <c r="K106" s="15"/>
      <c r="L106" s="3"/>
      <c r="M106" s="11">
        <v>45693</v>
      </c>
      <c r="N106" s="5">
        <f t="shared" si="19"/>
        <v>9</v>
      </c>
      <c r="O106" s="5"/>
      <c r="P106" s="6">
        <v>128980</v>
      </c>
      <c r="Q106" s="6">
        <f t="shared" si="21"/>
        <v>237.65000000000873</v>
      </c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 x14ac:dyDescent="0.35">
      <c r="A107" s="12"/>
      <c r="B107" s="13"/>
      <c r="C107" s="14"/>
      <c r="D107" s="13"/>
      <c r="E107" s="15"/>
      <c r="F107" s="16"/>
      <c r="G107" s="16"/>
      <c r="H107" s="14"/>
      <c r="I107" s="13"/>
      <c r="J107" s="19"/>
      <c r="K107" s="15"/>
      <c r="L107" s="3"/>
      <c r="M107" s="11"/>
      <c r="N107" s="5"/>
      <c r="O107" s="5"/>
      <c r="P107" s="6"/>
      <c r="Q107" s="7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 x14ac:dyDescent="0.35">
      <c r="A108" s="12">
        <v>45684</v>
      </c>
      <c r="B108" s="13">
        <v>17544</v>
      </c>
      <c r="C108" s="14" t="s">
        <v>584</v>
      </c>
      <c r="D108" s="13" t="s">
        <v>722</v>
      </c>
      <c r="E108" s="15">
        <v>45681</v>
      </c>
      <c r="F108" s="16">
        <v>65339.34</v>
      </c>
      <c r="G108" s="16">
        <f>((F108-5094)*1.5)+5094+11250</f>
        <v>106712.01</v>
      </c>
      <c r="H108" s="13" t="s">
        <v>723</v>
      </c>
      <c r="I108" s="14" t="s">
        <v>14</v>
      </c>
      <c r="J108" s="14">
        <v>3330133</v>
      </c>
      <c r="K108" s="15"/>
      <c r="L108" s="3"/>
      <c r="M108" s="11">
        <v>45685</v>
      </c>
      <c r="N108" s="5">
        <f t="shared" ref="N108:N113" si="22">M108-E108</f>
        <v>4</v>
      </c>
      <c r="O108" s="20" t="s">
        <v>724</v>
      </c>
      <c r="P108" s="6">
        <v>115000</v>
      </c>
      <c r="Q108" s="6">
        <f t="shared" ref="Q108:Q112" si="23">P108-G108</f>
        <v>8287.9900000000052</v>
      </c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35">
      <c r="A109" s="12">
        <v>45684</v>
      </c>
      <c r="B109" s="13">
        <v>27529</v>
      </c>
      <c r="C109" s="14" t="s">
        <v>57</v>
      </c>
      <c r="D109" s="13" t="s">
        <v>725</v>
      </c>
      <c r="E109" s="15">
        <v>45358</v>
      </c>
      <c r="F109" s="16">
        <v>79238</v>
      </c>
      <c r="G109" s="16">
        <f>((F109-5268)*1.45)+5268+11250</f>
        <v>123774.5</v>
      </c>
      <c r="H109" s="14" t="s">
        <v>726</v>
      </c>
      <c r="I109" s="14" t="s">
        <v>14</v>
      </c>
      <c r="J109" s="14">
        <v>3349422</v>
      </c>
      <c r="K109" s="15"/>
      <c r="L109" s="3"/>
      <c r="M109" s="11">
        <v>45686</v>
      </c>
      <c r="N109" s="5">
        <f t="shared" si="22"/>
        <v>328</v>
      </c>
      <c r="O109" s="5"/>
      <c r="P109" s="6">
        <v>128000</v>
      </c>
      <c r="Q109" s="6">
        <f t="shared" si="23"/>
        <v>4225.5</v>
      </c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 x14ac:dyDescent="0.35">
      <c r="A110" s="12">
        <v>45677</v>
      </c>
      <c r="B110" s="13">
        <v>30533</v>
      </c>
      <c r="C110" s="14" t="s">
        <v>57</v>
      </c>
      <c r="D110" s="13" t="s">
        <v>717</v>
      </c>
      <c r="E110" s="15">
        <v>45664</v>
      </c>
      <c r="F110" s="16">
        <v>96554</v>
      </c>
      <c r="G110" s="16">
        <f>((F110-4591)*1.45)+4591+11250</f>
        <v>149187.35</v>
      </c>
      <c r="H110" s="13" t="s">
        <v>727</v>
      </c>
      <c r="I110" s="14" t="s">
        <v>14</v>
      </c>
      <c r="J110" s="19">
        <v>3324859</v>
      </c>
      <c r="K110" s="15"/>
      <c r="L110" s="3" t="s">
        <v>728</v>
      </c>
      <c r="M110" s="11">
        <v>45680</v>
      </c>
      <c r="N110" s="5">
        <f t="shared" si="22"/>
        <v>16</v>
      </c>
      <c r="O110" s="5"/>
      <c r="P110" s="6">
        <v>148000</v>
      </c>
      <c r="Q110" s="6">
        <f t="shared" si="23"/>
        <v>-1187.3500000000058</v>
      </c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 x14ac:dyDescent="0.35">
      <c r="A111" s="12">
        <v>45670</v>
      </c>
      <c r="B111" s="13">
        <v>8619</v>
      </c>
      <c r="C111" s="14" t="s">
        <v>572</v>
      </c>
      <c r="D111" s="13" t="s">
        <v>685</v>
      </c>
      <c r="E111" s="15">
        <v>45650</v>
      </c>
      <c r="F111" s="16">
        <v>57777</v>
      </c>
      <c r="G111" s="16">
        <f>((F111)*1.5)+1861.5+5750</f>
        <v>94277</v>
      </c>
      <c r="H111" s="13" t="s">
        <v>729</v>
      </c>
      <c r="I111" s="14" t="s">
        <v>14</v>
      </c>
      <c r="J111" s="14">
        <v>3348830</v>
      </c>
      <c r="K111" s="15"/>
      <c r="L111" s="3"/>
      <c r="M111" s="11">
        <v>45671</v>
      </c>
      <c r="N111" s="5">
        <f t="shared" si="22"/>
        <v>21</v>
      </c>
      <c r="O111" s="20" t="s">
        <v>687</v>
      </c>
      <c r="P111" s="6">
        <v>102100</v>
      </c>
      <c r="Q111" s="6">
        <f t="shared" si="23"/>
        <v>7823</v>
      </c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 x14ac:dyDescent="0.35">
      <c r="A112" s="12">
        <v>45652</v>
      </c>
      <c r="B112" s="13">
        <v>23599</v>
      </c>
      <c r="C112" s="14" t="s">
        <v>11</v>
      </c>
      <c r="D112" s="13" t="s">
        <v>17</v>
      </c>
      <c r="E112" s="15">
        <v>45579</v>
      </c>
      <c r="F112" s="16">
        <v>37771</v>
      </c>
      <c r="G112" s="16">
        <f>((F112-1500)*1.5)+1500+5750</f>
        <v>61656.5</v>
      </c>
      <c r="H112" s="14" t="s">
        <v>730</v>
      </c>
      <c r="I112" s="14" t="s">
        <v>31</v>
      </c>
      <c r="J112" s="19">
        <v>3350397</v>
      </c>
      <c r="K112" s="15" t="s">
        <v>731</v>
      </c>
      <c r="L112" s="3" t="s">
        <v>732</v>
      </c>
      <c r="M112" s="11">
        <v>45660</v>
      </c>
      <c r="N112" s="5">
        <f t="shared" si="22"/>
        <v>81</v>
      </c>
      <c r="O112" s="5"/>
      <c r="P112" s="6">
        <v>67000</v>
      </c>
      <c r="Q112" s="6">
        <f t="shared" si="23"/>
        <v>5343.5</v>
      </c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 x14ac:dyDescent="0.35">
      <c r="A113" s="12">
        <v>45660</v>
      </c>
      <c r="B113" s="13">
        <v>13230</v>
      </c>
      <c r="C113" s="14" t="s">
        <v>11</v>
      </c>
      <c r="D113" s="13" t="s">
        <v>733</v>
      </c>
      <c r="E113" s="15">
        <v>45579</v>
      </c>
      <c r="F113" s="16">
        <v>43351</v>
      </c>
      <c r="G113" s="16">
        <f>((F113-3026)*1.5)+3026+11250</f>
        <v>74763.5</v>
      </c>
      <c r="H113" s="14" t="s">
        <v>734</v>
      </c>
      <c r="I113" s="14" t="s">
        <v>36</v>
      </c>
      <c r="J113" s="19" t="s">
        <v>429</v>
      </c>
      <c r="K113" s="15" t="s">
        <v>731</v>
      </c>
      <c r="L113" s="3" t="s">
        <v>735</v>
      </c>
      <c r="M113" s="11">
        <v>45660</v>
      </c>
      <c r="N113" s="5">
        <f t="shared" si="22"/>
        <v>81</v>
      </c>
      <c r="O113" s="5"/>
      <c r="P113" s="6"/>
      <c r="Q113" s="7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" customHeight="1" x14ac:dyDescent="0.3">
      <c r="A114" s="70"/>
      <c r="B114" s="52"/>
      <c r="C114" s="52"/>
      <c r="D114" s="52"/>
      <c r="E114" s="52"/>
      <c r="F114" s="52"/>
      <c r="G114" s="52"/>
      <c r="H114" s="52"/>
      <c r="I114" s="52"/>
      <c r="J114" s="52"/>
      <c r="K114" s="52"/>
    </row>
    <row r="115" spans="1:26" ht="14.25" customHeight="1" x14ac:dyDescent="0.35">
      <c r="A115" s="12">
        <v>45643</v>
      </c>
      <c r="B115" s="13">
        <v>1681</v>
      </c>
      <c r="C115" s="14" t="s">
        <v>572</v>
      </c>
      <c r="D115" s="14" t="s">
        <v>736</v>
      </c>
      <c r="E115" s="15">
        <v>45638</v>
      </c>
      <c r="F115" s="16">
        <v>77475</v>
      </c>
      <c r="G115" s="16">
        <f>((F115)*1.5)+3082+11250</f>
        <v>130544.5</v>
      </c>
      <c r="H115" s="13" t="s">
        <v>737</v>
      </c>
      <c r="I115" s="14" t="s">
        <v>14</v>
      </c>
      <c r="J115" s="14">
        <v>3341496</v>
      </c>
      <c r="K115" s="15" t="s">
        <v>738</v>
      </c>
      <c r="L115" s="3" t="s">
        <v>739</v>
      </c>
      <c r="M115" s="11">
        <v>45656</v>
      </c>
      <c r="N115" s="5">
        <f t="shared" ref="N115:N126" si="24">M115-E115</f>
        <v>18</v>
      </c>
      <c r="O115" s="20" t="s">
        <v>25</v>
      </c>
      <c r="P115" s="6">
        <v>140000</v>
      </c>
      <c r="Q115" s="6">
        <f>P115-G115</f>
        <v>9455.5</v>
      </c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35">
      <c r="A116" s="12">
        <v>45644</v>
      </c>
      <c r="B116" s="13">
        <v>22996</v>
      </c>
      <c r="C116" s="14" t="s">
        <v>11</v>
      </c>
      <c r="D116" s="13" t="s">
        <v>30</v>
      </c>
      <c r="E116" s="15">
        <v>45545</v>
      </c>
      <c r="F116" s="16">
        <v>50682</v>
      </c>
      <c r="G116" s="16">
        <f>((F116-3026)*1.5)+3026+11250</f>
        <v>85760</v>
      </c>
      <c r="H116" s="14" t="s">
        <v>740</v>
      </c>
      <c r="I116" s="13" t="s">
        <v>36</v>
      </c>
      <c r="J116" s="19" t="s">
        <v>429</v>
      </c>
      <c r="K116" s="15" t="s">
        <v>738</v>
      </c>
      <c r="L116" s="3" t="s">
        <v>741</v>
      </c>
      <c r="M116" s="11">
        <v>45653</v>
      </c>
      <c r="N116" s="5">
        <f t="shared" si="24"/>
        <v>108</v>
      </c>
      <c r="O116" s="5"/>
      <c r="P116" s="6"/>
      <c r="Q116" s="7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35">
      <c r="A117" s="12">
        <v>45638</v>
      </c>
      <c r="B117" s="13">
        <v>8564</v>
      </c>
      <c r="C117" s="14" t="s">
        <v>572</v>
      </c>
      <c r="D117" s="13" t="s">
        <v>685</v>
      </c>
      <c r="E117" s="15">
        <v>45637</v>
      </c>
      <c r="F117" s="16">
        <v>57982</v>
      </c>
      <c r="G117" s="16">
        <f t="shared" ref="G117:G119" si="25">((F117)*1.5)+1861.5+5750</f>
        <v>94584.5</v>
      </c>
      <c r="H117" s="13" t="s">
        <v>742</v>
      </c>
      <c r="I117" s="14" t="s">
        <v>14</v>
      </c>
      <c r="J117" s="14">
        <v>3336052</v>
      </c>
      <c r="K117" s="15"/>
      <c r="L117" s="3"/>
      <c r="M117" s="11">
        <v>45643</v>
      </c>
      <c r="N117" s="5">
        <f t="shared" si="24"/>
        <v>6</v>
      </c>
      <c r="O117" s="20" t="s">
        <v>687</v>
      </c>
      <c r="P117" s="6">
        <v>94000</v>
      </c>
      <c r="Q117" s="6">
        <f t="shared" ref="Q117:Q119" si="26">P117-G117</f>
        <v>-584.5</v>
      </c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35">
      <c r="A118" s="12">
        <v>45642</v>
      </c>
      <c r="B118" s="13">
        <v>8513</v>
      </c>
      <c r="C118" s="14" t="s">
        <v>21</v>
      </c>
      <c r="D118" s="13" t="s">
        <v>685</v>
      </c>
      <c r="E118" s="15">
        <v>45621</v>
      </c>
      <c r="F118" s="16">
        <v>57879</v>
      </c>
      <c r="G118" s="16">
        <f t="shared" si="25"/>
        <v>94430</v>
      </c>
      <c r="H118" s="14" t="s">
        <v>743</v>
      </c>
      <c r="I118" s="14" t="s">
        <v>14</v>
      </c>
      <c r="J118" s="14">
        <v>3323147</v>
      </c>
      <c r="K118" s="15"/>
      <c r="L118" s="3" t="s">
        <v>744</v>
      </c>
      <c r="M118" s="11">
        <v>45644</v>
      </c>
      <c r="N118" s="5">
        <f t="shared" si="24"/>
        <v>23</v>
      </c>
      <c r="O118" s="20" t="s">
        <v>687</v>
      </c>
      <c r="P118" s="6">
        <v>94000</v>
      </c>
      <c r="Q118" s="6">
        <f t="shared" si="26"/>
        <v>-430</v>
      </c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35">
      <c r="A119" s="12">
        <v>45642</v>
      </c>
      <c r="B119" s="13">
        <v>8566</v>
      </c>
      <c r="C119" s="14" t="s">
        <v>572</v>
      </c>
      <c r="D119" s="13" t="s">
        <v>685</v>
      </c>
      <c r="E119" s="15">
        <v>45637</v>
      </c>
      <c r="F119" s="16">
        <v>57982</v>
      </c>
      <c r="G119" s="16">
        <f t="shared" si="25"/>
        <v>94584.5</v>
      </c>
      <c r="H119" s="13" t="s">
        <v>745</v>
      </c>
      <c r="I119" s="14" t="s">
        <v>14</v>
      </c>
      <c r="J119" s="14">
        <v>3333575</v>
      </c>
      <c r="K119" s="15"/>
      <c r="L119" s="3" t="s">
        <v>746</v>
      </c>
      <c r="M119" s="11">
        <v>45644</v>
      </c>
      <c r="N119" s="5">
        <f t="shared" si="24"/>
        <v>7</v>
      </c>
      <c r="O119" s="20" t="s">
        <v>687</v>
      </c>
      <c r="P119" s="6">
        <v>99000</v>
      </c>
      <c r="Q119" s="6">
        <f t="shared" si="26"/>
        <v>4415.5</v>
      </c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35">
      <c r="A120" s="12">
        <v>45630</v>
      </c>
      <c r="B120" s="13">
        <v>23313</v>
      </c>
      <c r="C120" s="14" t="s">
        <v>11</v>
      </c>
      <c r="D120" s="13" t="s">
        <v>652</v>
      </c>
      <c r="E120" s="15">
        <v>45498</v>
      </c>
      <c r="F120" s="16">
        <v>35649</v>
      </c>
      <c r="G120" s="16">
        <f>((F120-1603)*1.5)+1603+5750</f>
        <v>58422</v>
      </c>
      <c r="H120" s="14" t="s">
        <v>747</v>
      </c>
      <c r="I120" s="13" t="s">
        <v>14</v>
      </c>
      <c r="J120" s="49">
        <v>3324841</v>
      </c>
      <c r="K120" s="15"/>
      <c r="L120" s="3"/>
      <c r="M120" s="11">
        <v>45632</v>
      </c>
      <c r="N120" s="5">
        <f t="shared" si="24"/>
        <v>134</v>
      </c>
      <c r="O120" s="5"/>
      <c r="P120" s="5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35">
      <c r="A121" s="12">
        <v>45629</v>
      </c>
      <c r="B121" s="13">
        <v>13357</v>
      </c>
      <c r="C121" s="14" t="s">
        <v>11</v>
      </c>
      <c r="D121" s="13" t="s">
        <v>12</v>
      </c>
      <c r="E121" s="15">
        <v>45614</v>
      </c>
      <c r="F121" s="16">
        <v>64569</v>
      </c>
      <c r="G121" s="16">
        <f t="shared" ref="G121:G122" si="27">((F121-3026)*1.5)+3026+11250</f>
        <v>106590.5</v>
      </c>
      <c r="H121" s="14" t="s">
        <v>748</v>
      </c>
      <c r="I121" s="14" t="s">
        <v>14</v>
      </c>
      <c r="J121" s="19">
        <v>3305219</v>
      </c>
      <c r="K121" s="15"/>
      <c r="L121" s="3"/>
      <c r="M121" s="11">
        <v>45631</v>
      </c>
      <c r="N121" s="5">
        <f t="shared" si="24"/>
        <v>17</v>
      </c>
      <c r="O121" s="5"/>
      <c r="P121" s="5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35">
      <c r="A122" s="12">
        <v>45622</v>
      </c>
      <c r="B122" s="13">
        <v>23594</v>
      </c>
      <c r="C122" s="14" t="s">
        <v>11</v>
      </c>
      <c r="D122" s="13" t="s">
        <v>30</v>
      </c>
      <c r="E122" s="15">
        <v>45579</v>
      </c>
      <c r="F122" s="16">
        <v>50882</v>
      </c>
      <c r="G122" s="16">
        <f t="shared" si="27"/>
        <v>86060</v>
      </c>
      <c r="H122" s="14" t="s">
        <v>749</v>
      </c>
      <c r="I122" s="14" t="s">
        <v>31</v>
      </c>
      <c r="J122" s="14">
        <v>3318818</v>
      </c>
      <c r="K122" s="15"/>
      <c r="L122" s="3"/>
      <c r="M122" s="11">
        <v>45630</v>
      </c>
      <c r="N122" s="5">
        <f t="shared" si="24"/>
        <v>51</v>
      </c>
      <c r="O122" s="5"/>
      <c r="P122" s="5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35">
      <c r="A123" s="12">
        <v>45623</v>
      </c>
      <c r="B123" s="13">
        <v>1649</v>
      </c>
      <c r="C123" s="14" t="s">
        <v>21</v>
      </c>
      <c r="D123" s="14" t="s">
        <v>26</v>
      </c>
      <c r="E123" s="15">
        <v>45621</v>
      </c>
      <c r="F123" s="16">
        <v>77319</v>
      </c>
      <c r="G123" s="16">
        <f>((F123)*1.5)+3082+11250</f>
        <v>130310.5</v>
      </c>
      <c r="H123" s="14" t="s">
        <v>750</v>
      </c>
      <c r="I123" s="14" t="s">
        <v>14</v>
      </c>
      <c r="J123" s="14">
        <v>3326330</v>
      </c>
      <c r="K123" s="15"/>
      <c r="L123" s="3"/>
      <c r="M123" s="11">
        <v>45629</v>
      </c>
      <c r="N123" s="5">
        <f t="shared" si="24"/>
        <v>8</v>
      </c>
      <c r="O123" s="20" t="s">
        <v>25</v>
      </c>
      <c r="P123" s="5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35">
      <c r="A124" s="12">
        <v>45622</v>
      </c>
      <c r="B124" s="13">
        <v>23877</v>
      </c>
      <c r="C124" s="14" t="s">
        <v>11</v>
      </c>
      <c r="D124" s="13" t="s">
        <v>30</v>
      </c>
      <c r="E124" s="15">
        <v>45614</v>
      </c>
      <c r="F124" s="16">
        <v>51760</v>
      </c>
      <c r="G124" s="16">
        <f>((F124-3026)*1.5)+3026+11250</f>
        <v>87377</v>
      </c>
      <c r="H124" s="14" t="s">
        <v>751</v>
      </c>
      <c r="I124" s="14" t="s">
        <v>14</v>
      </c>
      <c r="J124" s="19">
        <v>3309461</v>
      </c>
      <c r="K124" s="15"/>
      <c r="L124" s="3" t="s">
        <v>752</v>
      </c>
      <c r="M124" s="11">
        <v>45629</v>
      </c>
      <c r="N124" s="5">
        <f t="shared" si="24"/>
        <v>15</v>
      </c>
      <c r="O124" s="5"/>
      <c r="P124" s="5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35">
      <c r="A125" s="12">
        <v>45629</v>
      </c>
      <c r="B125" s="13">
        <v>8389</v>
      </c>
      <c r="C125" s="14" t="s">
        <v>21</v>
      </c>
      <c r="D125" s="13" t="s">
        <v>753</v>
      </c>
      <c r="E125" s="15">
        <v>45581</v>
      </c>
      <c r="F125" s="71">
        <v>57982</v>
      </c>
      <c r="G125" s="16">
        <f>((F125)*1.5)+1861.5+5750</f>
        <v>94584.5</v>
      </c>
      <c r="H125" s="13" t="s">
        <v>754</v>
      </c>
      <c r="I125" s="14" t="s">
        <v>212</v>
      </c>
      <c r="J125" s="14">
        <v>3335646</v>
      </c>
      <c r="K125" s="15"/>
      <c r="L125" s="3" t="s">
        <v>755</v>
      </c>
      <c r="M125" s="11">
        <v>45631</v>
      </c>
      <c r="N125" s="5">
        <f t="shared" si="24"/>
        <v>50</v>
      </c>
      <c r="O125" s="20" t="s">
        <v>687</v>
      </c>
      <c r="P125" s="5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35">
      <c r="A126" s="12">
        <v>45623</v>
      </c>
      <c r="B126" s="13">
        <v>32018</v>
      </c>
      <c r="C126" s="14" t="s">
        <v>32</v>
      </c>
      <c r="D126" s="13" t="s">
        <v>40</v>
      </c>
      <c r="E126" s="15">
        <v>45622</v>
      </c>
      <c r="F126" s="16">
        <v>57421</v>
      </c>
      <c r="G126" s="16">
        <f>((F126)*1.45)+2200+5750</f>
        <v>91210.45</v>
      </c>
      <c r="H126" s="14" t="s">
        <v>756</v>
      </c>
      <c r="I126" s="14" t="s">
        <v>249</v>
      </c>
      <c r="J126" s="72">
        <v>3325687</v>
      </c>
      <c r="K126" s="15"/>
      <c r="L126" s="3"/>
      <c r="M126" s="11">
        <v>45628</v>
      </c>
      <c r="N126" s="5">
        <f t="shared" si="24"/>
        <v>6</v>
      </c>
      <c r="O126" s="20" t="s">
        <v>628</v>
      </c>
      <c r="P126" s="5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35">
      <c r="A127" s="12"/>
      <c r="B127" s="13"/>
      <c r="C127" s="14"/>
      <c r="D127" s="13"/>
      <c r="E127" s="15"/>
      <c r="F127" s="16"/>
      <c r="G127" s="16"/>
      <c r="H127" s="14"/>
      <c r="I127" s="14"/>
      <c r="J127" s="72"/>
      <c r="K127" s="15"/>
      <c r="L127" s="3"/>
      <c r="M127" s="11"/>
      <c r="N127" s="5"/>
      <c r="O127" s="5"/>
      <c r="P127" s="5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35">
      <c r="A128" s="12">
        <v>45615</v>
      </c>
      <c r="B128" s="13">
        <v>13196</v>
      </c>
      <c r="C128" s="14" t="s">
        <v>11</v>
      </c>
      <c r="D128" s="13" t="s">
        <v>37</v>
      </c>
      <c r="E128" s="15">
        <v>45569</v>
      </c>
      <c r="F128" s="16">
        <v>46717</v>
      </c>
      <c r="G128" s="16">
        <f>((F128-3026)*1.5)+3026+11250</f>
        <v>79812.5</v>
      </c>
      <c r="H128" s="14" t="s">
        <v>757</v>
      </c>
      <c r="I128" s="14" t="s">
        <v>31</v>
      </c>
      <c r="J128" s="19">
        <v>3324987</v>
      </c>
      <c r="K128" s="15" t="s">
        <v>758</v>
      </c>
      <c r="L128" s="3" t="s">
        <v>759</v>
      </c>
      <c r="M128" s="17">
        <v>45617</v>
      </c>
      <c r="N128" s="5">
        <f t="shared" ref="N128:N130" si="28">M128-E128</f>
        <v>48</v>
      </c>
      <c r="O128" s="5" t="s">
        <v>760</v>
      </c>
      <c r="P128" s="5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35">
      <c r="A129" s="12">
        <v>45609</v>
      </c>
      <c r="B129" s="13">
        <v>23510</v>
      </c>
      <c r="C129" s="14" t="s">
        <v>11</v>
      </c>
      <c r="D129" s="13" t="s">
        <v>17</v>
      </c>
      <c r="E129" s="15">
        <v>45565</v>
      </c>
      <c r="F129" s="16">
        <v>37304</v>
      </c>
      <c r="G129" s="16">
        <f>((F129-1500)*1.5)+1500+5750</f>
        <v>60956</v>
      </c>
      <c r="H129" s="14" t="s">
        <v>761</v>
      </c>
      <c r="I129" s="13" t="s">
        <v>14</v>
      </c>
      <c r="J129" s="14">
        <v>3294450</v>
      </c>
      <c r="K129" s="15" t="s">
        <v>86</v>
      </c>
      <c r="L129" s="3"/>
      <c r="M129" s="11">
        <v>45610</v>
      </c>
      <c r="N129" s="5">
        <f t="shared" si="28"/>
        <v>45</v>
      </c>
      <c r="O129" s="2"/>
      <c r="P129" s="2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4.25" customHeight="1" x14ac:dyDescent="0.35">
      <c r="A130" s="12">
        <v>45607</v>
      </c>
      <c r="B130" s="13">
        <v>1580</v>
      </c>
      <c r="C130" s="14" t="s">
        <v>21</v>
      </c>
      <c r="D130" s="14" t="s">
        <v>26</v>
      </c>
      <c r="E130" s="15">
        <v>45582</v>
      </c>
      <c r="F130" s="16">
        <v>77114</v>
      </c>
      <c r="G130" s="16">
        <f>((F130)*1.5)+3082+11250</f>
        <v>130003</v>
      </c>
      <c r="H130" s="13" t="s">
        <v>762</v>
      </c>
      <c r="I130" s="14" t="s">
        <v>14</v>
      </c>
      <c r="J130" s="14">
        <v>3320402</v>
      </c>
      <c r="K130" s="15"/>
      <c r="L130" s="20" t="s">
        <v>763</v>
      </c>
      <c r="M130" s="11">
        <v>45608</v>
      </c>
      <c r="N130" s="5">
        <f t="shared" si="28"/>
        <v>26</v>
      </c>
      <c r="O130" s="20" t="s">
        <v>25</v>
      </c>
      <c r="P130" s="5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35">
      <c r="A131" s="73"/>
      <c r="B131" s="13"/>
      <c r="C131" s="14"/>
      <c r="D131" s="14"/>
      <c r="E131" s="15"/>
      <c r="F131" s="16"/>
      <c r="G131" s="16"/>
      <c r="H131" s="14"/>
      <c r="I131" s="14"/>
      <c r="J131" s="19"/>
      <c r="K131" s="15"/>
      <c r="L131" s="3"/>
      <c r="M131" s="11"/>
      <c r="N131" s="5"/>
      <c r="O131" s="5"/>
      <c r="P131" s="5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35">
      <c r="A132" s="12"/>
      <c r="B132" s="13">
        <v>27155</v>
      </c>
      <c r="C132" s="14" t="s">
        <v>57</v>
      </c>
      <c r="D132" s="14" t="s">
        <v>764</v>
      </c>
      <c r="E132" s="15">
        <v>45216</v>
      </c>
      <c r="F132" s="16">
        <v>78283</v>
      </c>
      <c r="G132" s="16">
        <f>((F132-5216)*1.45)+5216+11250</f>
        <v>122413.15</v>
      </c>
      <c r="H132" s="14" t="s">
        <v>765</v>
      </c>
      <c r="I132" s="14" t="s">
        <v>31</v>
      </c>
      <c r="J132" s="19">
        <v>3309657</v>
      </c>
      <c r="K132" s="15"/>
      <c r="L132" s="3" t="s">
        <v>766</v>
      </c>
      <c r="M132" s="11">
        <v>45595</v>
      </c>
      <c r="N132" s="5">
        <f>M132-E132</f>
        <v>379</v>
      </c>
      <c r="O132" s="5"/>
      <c r="P132" s="5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35">
      <c r="A133" s="64"/>
      <c r="B133" s="13">
        <v>16846</v>
      </c>
      <c r="C133" s="14" t="s">
        <v>584</v>
      </c>
      <c r="D133" s="14" t="s">
        <v>767</v>
      </c>
      <c r="E133" s="47">
        <v>45363</v>
      </c>
      <c r="F133" s="16">
        <v>60689.61</v>
      </c>
      <c r="G133" s="16">
        <f>((F133)*1.5)+3000+11250</f>
        <v>105284.41500000001</v>
      </c>
      <c r="H133" s="14" t="s">
        <v>768</v>
      </c>
      <c r="I133" s="14" t="s">
        <v>332</v>
      </c>
      <c r="J133" s="49" t="s">
        <v>769</v>
      </c>
      <c r="K133" s="50"/>
      <c r="L133" s="3" t="s">
        <v>770</v>
      </c>
      <c r="M133" s="5"/>
      <c r="N133" s="5"/>
      <c r="O133" s="5"/>
      <c r="P133" s="5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35">
      <c r="A134" s="64" t="s">
        <v>771</v>
      </c>
      <c r="B134" s="13">
        <v>23411</v>
      </c>
      <c r="C134" s="14" t="s">
        <v>11</v>
      </c>
      <c r="D134" s="13" t="s">
        <v>30</v>
      </c>
      <c r="E134" s="15">
        <v>45551</v>
      </c>
      <c r="F134" s="16">
        <v>50682</v>
      </c>
      <c r="G134" s="16">
        <f>((F134-3026)*1.5)+3026+11250</f>
        <v>85760</v>
      </c>
      <c r="H134" s="14" t="s">
        <v>772</v>
      </c>
      <c r="I134" s="14" t="s">
        <v>14</v>
      </c>
      <c r="J134" s="19">
        <v>3318504</v>
      </c>
      <c r="K134" s="47"/>
      <c r="L134" s="3" t="s">
        <v>773</v>
      </c>
      <c r="M134" s="11">
        <v>45594</v>
      </c>
      <c r="N134" s="5">
        <f t="shared" ref="N134:N136" si="29">M134-E134</f>
        <v>43</v>
      </c>
      <c r="O134" s="5"/>
      <c r="P134" s="5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35">
      <c r="A135" s="12" t="s">
        <v>771</v>
      </c>
      <c r="B135" s="13">
        <v>1486</v>
      </c>
      <c r="C135" s="14" t="s">
        <v>21</v>
      </c>
      <c r="D135" s="14" t="s">
        <v>26</v>
      </c>
      <c r="E135" s="15">
        <v>45532</v>
      </c>
      <c r="F135" s="16">
        <v>81599</v>
      </c>
      <c r="G135" s="16">
        <f>((F135-3704)*1.5)+3704+11250</f>
        <v>131796.5</v>
      </c>
      <c r="H135" s="14" t="s">
        <v>774</v>
      </c>
      <c r="I135" s="14" t="s">
        <v>31</v>
      </c>
      <c r="J135" s="19">
        <v>3309400</v>
      </c>
      <c r="K135" s="15"/>
      <c r="L135" s="3"/>
      <c r="M135" s="11">
        <v>45593</v>
      </c>
      <c r="N135" s="5">
        <f t="shared" si="29"/>
        <v>61</v>
      </c>
      <c r="O135" s="5"/>
      <c r="P135" s="5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35">
      <c r="A136" s="74"/>
      <c r="B136" s="13">
        <v>1524</v>
      </c>
      <c r="C136" s="14" t="s">
        <v>21</v>
      </c>
      <c r="D136" s="14" t="s">
        <v>26</v>
      </c>
      <c r="E136" s="15">
        <v>45553</v>
      </c>
      <c r="F136" s="16">
        <v>79173</v>
      </c>
      <c r="G136" s="16"/>
      <c r="H136" s="14" t="s">
        <v>775</v>
      </c>
      <c r="I136" s="14"/>
      <c r="J136" s="19">
        <v>3299020</v>
      </c>
      <c r="K136" s="47"/>
      <c r="L136" s="3"/>
      <c r="M136" s="11">
        <v>45580</v>
      </c>
      <c r="N136" s="5">
        <f t="shared" si="29"/>
        <v>27</v>
      </c>
      <c r="O136" s="5"/>
      <c r="P136" s="5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35">
      <c r="A137" s="74"/>
      <c r="B137" s="13">
        <v>27944</v>
      </c>
      <c r="C137" s="14" t="s">
        <v>57</v>
      </c>
      <c r="D137" s="14" t="s">
        <v>776</v>
      </c>
      <c r="E137" s="15"/>
      <c r="F137" s="16"/>
      <c r="G137" s="16"/>
      <c r="H137" s="14" t="s">
        <v>777</v>
      </c>
      <c r="I137" s="14" t="s">
        <v>36</v>
      </c>
      <c r="J137" s="19"/>
      <c r="K137" s="47"/>
      <c r="L137" s="3"/>
      <c r="M137" s="11"/>
      <c r="N137" s="5"/>
      <c r="O137" s="5"/>
      <c r="P137" s="5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35">
      <c r="A138" s="64"/>
      <c r="B138" s="13">
        <v>35968</v>
      </c>
      <c r="C138" s="14" t="s">
        <v>778</v>
      </c>
      <c r="D138" s="13" t="s">
        <v>779</v>
      </c>
      <c r="E138" s="15">
        <v>45415</v>
      </c>
      <c r="F138" s="16">
        <v>79518</v>
      </c>
      <c r="G138" s="16"/>
      <c r="H138" s="14" t="s">
        <v>780</v>
      </c>
      <c r="I138" s="14" t="s">
        <v>31</v>
      </c>
      <c r="J138" s="49">
        <v>3296977</v>
      </c>
      <c r="K138" s="50">
        <v>45565</v>
      </c>
      <c r="L138" s="3"/>
      <c r="M138" s="11">
        <v>45586</v>
      </c>
      <c r="N138" s="5">
        <f>M138-E138</f>
        <v>171</v>
      </c>
      <c r="O138" s="18"/>
      <c r="P138" s="5"/>
      <c r="Q138" s="18"/>
      <c r="R138" s="18"/>
      <c r="S138" s="18"/>
      <c r="T138" s="18"/>
      <c r="U138" s="18"/>
      <c r="V138" s="18"/>
      <c r="W138" s="18"/>
      <c r="X138" s="18"/>
      <c r="Y138" s="70"/>
      <c r="Z138" s="70"/>
    </row>
    <row r="139" spans="1:26" ht="14.25" customHeight="1" x14ac:dyDescent="0.35">
      <c r="A139" s="64"/>
      <c r="B139" s="13">
        <v>23037</v>
      </c>
      <c r="C139" s="14" t="s">
        <v>11</v>
      </c>
      <c r="D139" s="13" t="s">
        <v>781</v>
      </c>
      <c r="E139" s="15">
        <v>45453</v>
      </c>
      <c r="F139" s="16">
        <v>33913</v>
      </c>
      <c r="G139" s="16">
        <f>((F139-1513)*1.5)+1513+5750</f>
        <v>55863</v>
      </c>
      <c r="H139" s="14" t="s">
        <v>782</v>
      </c>
      <c r="I139" s="14" t="s">
        <v>31</v>
      </c>
      <c r="J139" s="49" t="s">
        <v>449</v>
      </c>
      <c r="K139" s="50"/>
      <c r="L139" s="3" t="s">
        <v>783</v>
      </c>
      <c r="M139" s="18"/>
      <c r="N139" s="18"/>
      <c r="O139" s="18"/>
      <c r="P139" s="5"/>
      <c r="Q139" s="18"/>
      <c r="R139" s="18"/>
      <c r="S139" s="18"/>
      <c r="T139" s="18"/>
      <c r="U139" s="18"/>
      <c r="V139" s="18"/>
      <c r="W139" s="18"/>
      <c r="X139" s="18"/>
      <c r="Y139" s="70"/>
      <c r="Z139" s="70"/>
    </row>
    <row r="140" spans="1:26" ht="14.25" customHeight="1" x14ac:dyDescent="0.35">
      <c r="A140" s="64"/>
      <c r="B140" s="13">
        <v>27526</v>
      </c>
      <c r="C140" s="14" t="s">
        <v>57</v>
      </c>
      <c r="D140" s="13" t="s">
        <v>784</v>
      </c>
      <c r="E140" s="15">
        <v>45356</v>
      </c>
      <c r="F140" s="16">
        <v>78753</v>
      </c>
      <c r="G140" s="16">
        <f>((F140-5268)*1.45)+5268+11250</f>
        <v>123071.25</v>
      </c>
      <c r="H140" s="14" t="s">
        <v>785</v>
      </c>
      <c r="I140" s="14" t="s">
        <v>36</v>
      </c>
      <c r="J140" s="49">
        <v>3233360</v>
      </c>
      <c r="K140" s="50"/>
      <c r="L140" s="3"/>
      <c r="M140" s="11">
        <v>45594</v>
      </c>
      <c r="N140" s="5">
        <f t="shared" ref="N140:N142" si="30">M140-E140</f>
        <v>238</v>
      </c>
      <c r="O140" s="5"/>
      <c r="P140" s="5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35">
      <c r="A141" s="12">
        <v>45565</v>
      </c>
      <c r="B141" s="13">
        <v>12331</v>
      </c>
      <c r="C141" s="14" t="s">
        <v>11</v>
      </c>
      <c r="D141" s="13" t="s">
        <v>37</v>
      </c>
      <c r="E141" s="15">
        <v>45519</v>
      </c>
      <c r="F141" s="16">
        <v>47783</v>
      </c>
      <c r="G141" s="16">
        <f>((F141-3026)*1.5)+3026+11250</f>
        <v>81411.5</v>
      </c>
      <c r="H141" s="14" t="s">
        <v>786</v>
      </c>
      <c r="I141" s="14" t="s">
        <v>14</v>
      </c>
      <c r="J141" s="19">
        <v>3298312</v>
      </c>
      <c r="K141" s="15"/>
      <c r="L141" s="3"/>
      <c r="M141" s="11">
        <v>45568</v>
      </c>
      <c r="N141" s="5">
        <f t="shared" si="30"/>
        <v>49</v>
      </c>
      <c r="O141" s="5"/>
      <c r="P141" s="5">
        <v>57981</v>
      </c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35">
      <c r="A142" s="12">
        <v>45565</v>
      </c>
      <c r="B142" s="13">
        <v>8234</v>
      </c>
      <c r="C142" s="14" t="s">
        <v>21</v>
      </c>
      <c r="D142" s="14" t="s">
        <v>787</v>
      </c>
      <c r="E142" s="15">
        <v>45538</v>
      </c>
      <c r="F142" s="16">
        <v>59734</v>
      </c>
      <c r="G142" s="16">
        <f>((F142-1852)*1.5)+1852+5750</f>
        <v>94425</v>
      </c>
      <c r="H142" s="14" t="s">
        <v>788</v>
      </c>
      <c r="I142" s="14" t="s">
        <v>14</v>
      </c>
      <c r="J142" s="19">
        <v>3314115</v>
      </c>
      <c r="K142" s="15"/>
      <c r="L142" s="5" t="s">
        <v>789</v>
      </c>
      <c r="M142" s="11">
        <v>45568</v>
      </c>
      <c r="N142" s="5">
        <f t="shared" si="30"/>
        <v>30</v>
      </c>
      <c r="O142" s="5"/>
      <c r="P142" s="5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35">
      <c r="A143" s="12"/>
      <c r="B143" s="13"/>
      <c r="C143" s="14"/>
      <c r="D143" s="13"/>
      <c r="E143" s="15"/>
      <c r="F143" s="16"/>
      <c r="G143" s="16"/>
      <c r="H143" s="14"/>
      <c r="I143" s="13"/>
      <c r="J143" s="14"/>
      <c r="K143" s="13"/>
      <c r="L143" s="3"/>
      <c r="M143" s="11"/>
      <c r="N143" s="5"/>
      <c r="O143" s="5"/>
      <c r="P143" s="5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 x14ac:dyDescent="0.35">
      <c r="A144" s="12">
        <v>45547</v>
      </c>
      <c r="B144" s="13">
        <v>17248</v>
      </c>
      <c r="C144" s="14" t="s">
        <v>584</v>
      </c>
      <c r="D144" s="14" t="s">
        <v>585</v>
      </c>
      <c r="E144" s="15">
        <v>45532</v>
      </c>
      <c r="F144" s="16">
        <v>60787.69</v>
      </c>
      <c r="G144" s="16">
        <f>((F144)*1.5)+2950+11250</f>
        <v>105381.535</v>
      </c>
      <c r="H144" s="14" t="s">
        <v>790</v>
      </c>
      <c r="I144" s="14" t="s">
        <v>14</v>
      </c>
      <c r="J144" s="19" t="s">
        <v>300</v>
      </c>
      <c r="K144" s="47" t="s">
        <v>791</v>
      </c>
      <c r="L144" s="3" t="s">
        <v>792</v>
      </c>
      <c r="M144" s="20" t="s">
        <v>793</v>
      </c>
      <c r="N144" s="5"/>
      <c r="O144" s="5"/>
      <c r="P144" s="5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35">
      <c r="A145" s="12">
        <v>45560</v>
      </c>
      <c r="B145" s="13">
        <v>22957</v>
      </c>
      <c r="C145" s="14" t="s">
        <v>11</v>
      </c>
      <c r="D145" s="13" t="s">
        <v>30</v>
      </c>
      <c r="E145" s="15">
        <v>45539</v>
      </c>
      <c r="F145" s="16">
        <v>50687</v>
      </c>
      <c r="G145" s="16">
        <f t="shared" ref="G145:G146" si="31">((F145-3026)*1.5)+3026+11250</f>
        <v>85767.5</v>
      </c>
      <c r="H145" s="14" t="s">
        <v>794</v>
      </c>
      <c r="I145" s="13" t="s">
        <v>31</v>
      </c>
      <c r="J145" s="14">
        <v>3303614</v>
      </c>
      <c r="K145" s="13"/>
      <c r="L145" s="3"/>
      <c r="M145" s="11">
        <v>45563</v>
      </c>
      <c r="N145" s="5">
        <f t="shared" ref="N145:N150" si="32">M145-E145</f>
        <v>24</v>
      </c>
      <c r="O145" s="5"/>
      <c r="P145" s="5">
        <v>133717</v>
      </c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35">
      <c r="A146" s="12">
        <v>45558</v>
      </c>
      <c r="B146" s="13">
        <v>12695</v>
      </c>
      <c r="C146" s="14" t="s">
        <v>11</v>
      </c>
      <c r="D146" s="13" t="s">
        <v>795</v>
      </c>
      <c r="E146" s="15">
        <v>45502</v>
      </c>
      <c r="F146" s="16">
        <v>50185</v>
      </c>
      <c r="G146" s="16">
        <f t="shared" si="31"/>
        <v>85014.5</v>
      </c>
      <c r="H146" s="14" t="s">
        <v>796</v>
      </c>
      <c r="I146" s="14" t="s">
        <v>14</v>
      </c>
      <c r="J146" s="19">
        <v>3291601</v>
      </c>
      <c r="K146" s="15"/>
      <c r="L146" s="3"/>
      <c r="M146" s="11">
        <v>45560</v>
      </c>
      <c r="N146" s="5">
        <f t="shared" si="32"/>
        <v>58</v>
      </c>
      <c r="O146" s="5"/>
      <c r="P146" s="5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35">
      <c r="A147" s="12">
        <v>45544</v>
      </c>
      <c r="B147" s="13">
        <v>27869</v>
      </c>
      <c r="C147" s="14" t="s">
        <v>57</v>
      </c>
      <c r="D147" s="13" t="s">
        <v>720</v>
      </c>
      <c r="E147" s="15">
        <v>45532</v>
      </c>
      <c r="F147" s="16">
        <v>83697</v>
      </c>
      <c r="G147" s="16">
        <f>((F147-3026)*1.45)+3026+11250</f>
        <v>131248.95000000001</v>
      </c>
      <c r="H147" s="14" t="s">
        <v>797</v>
      </c>
      <c r="I147" s="14" t="s">
        <v>14</v>
      </c>
      <c r="J147" s="19">
        <v>3274473</v>
      </c>
      <c r="K147" s="15"/>
      <c r="L147" s="3"/>
      <c r="M147" s="11">
        <v>45547</v>
      </c>
      <c r="N147" s="5">
        <f t="shared" si="32"/>
        <v>15</v>
      </c>
      <c r="O147" s="5"/>
      <c r="P147" s="5">
        <f>(('Sold Stuff'!P141-1852)*1.5)+1852+5750</f>
        <v>91795.5</v>
      </c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35">
      <c r="A148" s="12">
        <v>45546</v>
      </c>
      <c r="B148" s="13">
        <v>22825</v>
      </c>
      <c r="C148" s="14" t="s">
        <v>11</v>
      </c>
      <c r="D148" s="13" t="s">
        <v>673</v>
      </c>
      <c r="E148" s="15">
        <v>45516</v>
      </c>
      <c r="F148" s="16">
        <v>35737</v>
      </c>
      <c r="G148" s="16">
        <f>((F148-1603)*1.5)+1603+5750</f>
        <v>58554</v>
      </c>
      <c r="H148" s="14" t="s">
        <v>798</v>
      </c>
      <c r="I148" s="13" t="s">
        <v>36</v>
      </c>
      <c r="J148" s="19">
        <v>3303338</v>
      </c>
      <c r="K148" s="15"/>
      <c r="L148" s="3"/>
      <c r="M148" s="11">
        <v>45547</v>
      </c>
      <c r="N148" s="5">
        <f t="shared" si="32"/>
        <v>31</v>
      </c>
      <c r="O148" s="5"/>
      <c r="P148" s="5" t="s">
        <v>799</v>
      </c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35">
      <c r="A149" s="12">
        <v>45544</v>
      </c>
      <c r="B149" s="13">
        <v>12846</v>
      </c>
      <c r="C149" s="14" t="s">
        <v>11</v>
      </c>
      <c r="D149" s="13" t="s">
        <v>800</v>
      </c>
      <c r="E149" s="15">
        <v>45540</v>
      </c>
      <c r="F149" s="16">
        <v>51984</v>
      </c>
      <c r="G149" s="16">
        <f>((F149-3026)*1.5)+3026+11250</f>
        <v>87713</v>
      </c>
      <c r="H149" s="14" t="s">
        <v>801</v>
      </c>
      <c r="I149" s="13" t="s">
        <v>36</v>
      </c>
      <c r="J149" s="19" t="s">
        <v>429</v>
      </c>
      <c r="K149" s="15"/>
      <c r="L149" s="3" t="s">
        <v>802</v>
      </c>
      <c r="M149" s="11">
        <v>45544</v>
      </c>
      <c r="N149" s="5">
        <f t="shared" si="32"/>
        <v>4</v>
      </c>
      <c r="O149" s="5"/>
      <c r="P149" s="5">
        <f>(('Sold Stuff'!P145-4000)*1.5)+4000+11250</f>
        <v>209825.5</v>
      </c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35">
      <c r="A150" s="12">
        <v>45533</v>
      </c>
      <c r="B150" s="13">
        <v>4360</v>
      </c>
      <c r="C150" s="14" t="s">
        <v>41</v>
      </c>
      <c r="D150" s="13" t="s">
        <v>803</v>
      </c>
      <c r="E150" s="15">
        <v>45526</v>
      </c>
      <c r="F150" s="16">
        <v>107774</v>
      </c>
      <c r="G150" s="16">
        <f>((F150-4000)*1.5)+4000+11250</f>
        <v>170911</v>
      </c>
      <c r="H150" s="14" t="s">
        <v>804</v>
      </c>
      <c r="I150" s="14" t="s">
        <v>212</v>
      </c>
      <c r="J150" s="49">
        <v>3240226</v>
      </c>
      <c r="K150" s="50"/>
      <c r="L150" s="3"/>
      <c r="M150" s="11">
        <v>45539</v>
      </c>
      <c r="N150" s="5">
        <f t="shared" si="32"/>
        <v>13</v>
      </c>
      <c r="O150" s="5"/>
      <c r="P150" s="5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 x14ac:dyDescent="0.35">
      <c r="A151" s="12"/>
      <c r="B151" s="13"/>
      <c r="C151" s="14"/>
      <c r="D151" s="13"/>
      <c r="E151" s="15"/>
      <c r="F151" s="16"/>
      <c r="G151" s="16"/>
      <c r="H151" s="14"/>
      <c r="I151" s="14"/>
      <c r="J151" s="49"/>
      <c r="K151" s="47"/>
      <c r="L151" s="18"/>
      <c r="M151" s="11"/>
      <c r="N151" s="5"/>
      <c r="O151" s="5"/>
      <c r="P151" s="5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 x14ac:dyDescent="0.35">
      <c r="A152" s="12">
        <v>45526</v>
      </c>
      <c r="B152" s="13">
        <v>12271</v>
      </c>
      <c r="C152" s="14" t="s">
        <v>11</v>
      </c>
      <c r="D152" s="13" t="s">
        <v>805</v>
      </c>
      <c r="E152" s="15">
        <v>45448</v>
      </c>
      <c r="F152" s="16">
        <v>46201</v>
      </c>
      <c r="G152" s="16">
        <f t="shared" ref="G152:G153" si="33">((F152-3026)*1.5)+3026+11250</f>
        <v>79038.5</v>
      </c>
      <c r="H152" s="14" t="s">
        <v>806</v>
      </c>
      <c r="I152" s="14" t="s">
        <v>14</v>
      </c>
      <c r="J152" s="49">
        <v>3279481</v>
      </c>
      <c r="K152" s="47"/>
      <c r="L152" s="18"/>
      <c r="M152" s="11">
        <v>45531</v>
      </c>
      <c r="N152" s="5">
        <f t="shared" ref="N152:N157" si="34">M152-E152</f>
        <v>83</v>
      </c>
      <c r="O152" s="5"/>
      <c r="P152" s="5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 x14ac:dyDescent="0.35">
      <c r="A153" s="12">
        <v>45526</v>
      </c>
      <c r="B153" s="13">
        <v>12277</v>
      </c>
      <c r="C153" s="14" t="s">
        <v>11</v>
      </c>
      <c r="D153" s="13" t="s">
        <v>37</v>
      </c>
      <c r="E153" s="15">
        <v>45449</v>
      </c>
      <c r="F153" s="16">
        <v>49376</v>
      </c>
      <c r="G153" s="16">
        <f t="shared" si="33"/>
        <v>83801</v>
      </c>
      <c r="H153" s="14" t="s">
        <v>807</v>
      </c>
      <c r="I153" s="14" t="s">
        <v>14</v>
      </c>
      <c r="J153" s="19">
        <v>3294404</v>
      </c>
      <c r="K153" s="47"/>
      <c r="L153" s="3"/>
      <c r="M153" s="11">
        <v>45531</v>
      </c>
      <c r="N153" s="5">
        <f t="shared" si="34"/>
        <v>82</v>
      </c>
      <c r="O153" s="5"/>
      <c r="P153" s="5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 x14ac:dyDescent="0.35">
      <c r="A154" s="12">
        <v>45526</v>
      </c>
      <c r="B154" s="13">
        <v>17085</v>
      </c>
      <c r="C154" s="14" t="s">
        <v>584</v>
      </c>
      <c r="D154" s="13" t="s">
        <v>585</v>
      </c>
      <c r="E154" s="15">
        <v>45467</v>
      </c>
      <c r="F154" s="16">
        <v>60968.38</v>
      </c>
      <c r="G154" s="16">
        <f>((F154)*1.5)+2730+11250</f>
        <v>105432.56999999999</v>
      </c>
      <c r="H154" s="14" t="s">
        <v>808</v>
      </c>
      <c r="I154" s="14" t="s">
        <v>14</v>
      </c>
      <c r="J154" s="19">
        <v>3272630</v>
      </c>
      <c r="K154" s="47"/>
      <c r="L154" s="3"/>
      <c r="M154" s="11">
        <v>45531</v>
      </c>
      <c r="N154" s="5">
        <f t="shared" si="34"/>
        <v>64</v>
      </c>
      <c r="O154" s="5"/>
      <c r="P154" s="5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 x14ac:dyDescent="0.35">
      <c r="A155" s="12">
        <v>45513</v>
      </c>
      <c r="B155" s="13">
        <v>23117</v>
      </c>
      <c r="C155" s="14" t="s">
        <v>11</v>
      </c>
      <c r="D155" s="13" t="s">
        <v>704</v>
      </c>
      <c r="E155" s="15">
        <v>45463</v>
      </c>
      <c r="F155" s="16">
        <v>31701</v>
      </c>
      <c r="G155" s="16">
        <f>((F155-1530)*1.5)+1530+5750</f>
        <v>52536.5</v>
      </c>
      <c r="H155" s="14" t="s">
        <v>809</v>
      </c>
      <c r="I155" s="14" t="s">
        <v>14</v>
      </c>
      <c r="J155" s="19">
        <v>3270616</v>
      </c>
      <c r="K155" s="15"/>
      <c r="L155" s="3"/>
      <c r="M155" s="11">
        <v>45519</v>
      </c>
      <c r="N155" s="5">
        <f t="shared" si="34"/>
        <v>56</v>
      </c>
      <c r="O155" s="5"/>
      <c r="P155" s="5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 x14ac:dyDescent="0.35">
      <c r="A156" s="12">
        <v>45517</v>
      </c>
      <c r="B156" s="13">
        <v>12565</v>
      </c>
      <c r="C156" s="14" t="s">
        <v>11</v>
      </c>
      <c r="D156" s="13" t="s">
        <v>30</v>
      </c>
      <c r="E156" s="15">
        <v>45469</v>
      </c>
      <c r="F156" s="16">
        <v>53811</v>
      </c>
      <c r="G156" s="16">
        <f>((F156-3026)*1.5)+3026+11250</f>
        <v>90453.5</v>
      </c>
      <c r="H156" s="14" t="s">
        <v>810</v>
      </c>
      <c r="I156" s="14" t="s">
        <v>14</v>
      </c>
      <c r="J156" s="49">
        <v>3218051</v>
      </c>
      <c r="K156" s="50"/>
      <c r="L156" s="3"/>
      <c r="M156" s="11">
        <v>45519</v>
      </c>
      <c r="N156" s="5">
        <f t="shared" si="34"/>
        <v>50</v>
      </c>
      <c r="O156" s="5"/>
      <c r="P156" s="5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 x14ac:dyDescent="0.35">
      <c r="A157" s="12">
        <v>45512</v>
      </c>
      <c r="B157" s="13">
        <v>27795</v>
      </c>
      <c r="C157" s="14" t="s">
        <v>57</v>
      </c>
      <c r="D157" s="14" t="s">
        <v>811</v>
      </c>
      <c r="E157" s="15">
        <v>45495</v>
      </c>
      <c r="F157" s="16">
        <v>82189</v>
      </c>
      <c r="G157" s="16">
        <f>((F157-4578)*1.45)+4578+11250</f>
        <v>128363.95</v>
      </c>
      <c r="H157" s="14" t="s">
        <v>812</v>
      </c>
      <c r="I157" s="14" t="s">
        <v>14</v>
      </c>
      <c r="J157" s="14">
        <v>3258448</v>
      </c>
      <c r="K157" s="15"/>
      <c r="L157" s="3"/>
      <c r="M157" s="11">
        <v>45518</v>
      </c>
      <c r="N157" s="5">
        <f t="shared" si="34"/>
        <v>23</v>
      </c>
      <c r="O157" s="5"/>
      <c r="P157" s="5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 x14ac:dyDescent="0.35">
      <c r="A158" s="12">
        <v>45521</v>
      </c>
      <c r="B158" s="13">
        <v>11605</v>
      </c>
      <c r="C158" s="14" t="s">
        <v>636</v>
      </c>
      <c r="D158" s="14" t="s">
        <v>813</v>
      </c>
      <c r="E158" s="15">
        <v>44714</v>
      </c>
      <c r="F158" s="16">
        <v>75404.429999999993</v>
      </c>
      <c r="G158" s="16">
        <f>((F158-5850)*1.45)+5850+5750</f>
        <v>112453.92349999999</v>
      </c>
      <c r="H158" s="14" t="s">
        <v>814</v>
      </c>
      <c r="I158" s="14" t="s">
        <v>332</v>
      </c>
      <c r="J158" s="19" t="s">
        <v>300</v>
      </c>
      <c r="K158" s="47"/>
      <c r="L158" s="3" t="s">
        <v>815</v>
      </c>
      <c r="M158" s="26">
        <v>51275.15</v>
      </c>
      <c r="N158" s="22">
        <f>F158-M158</f>
        <v>24129.279999999992</v>
      </c>
      <c r="O158" s="6"/>
      <c r="P158" s="3"/>
      <c r="Q158" s="3"/>
      <c r="R158" s="3"/>
      <c r="S158" s="3"/>
      <c r="T158" s="5"/>
      <c r="U158" s="5"/>
      <c r="V158" s="5"/>
      <c r="W158" s="5"/>
      <c r="X158" s="5"/>
      <c r="Y158" s="5"/>
      <c r="Z158" s="5"/>
    </row>
    <row r="159" spans="1:26" ht="14.25" customHeight="1" x14ac:dyDescent="0.35">
      <c r="A159" s="12">
        <v>45525</v>
      </c>
      <c r="B159" s="13">
        <v>22125</v>
      </c>
      <c r="C159" s="14" t="s">
        <v>11</v>
      </c>
      <c r="D159" s="13" t="s">
        <v>816</v>
      </c>
      <c r="E159" s="15">
        <v>45355</v>
      </c>
      <c r="F159" s="16">
        <v>30661</v>
      </c>
      <c r="G159" s="16">
        <f t="shared" ref="G159:G160" si="35">((F159-1530)*1.5)+1530+5750</f>
        <v>50976.5</v>
      </c>
      <c r="H159" s="14" t="s">
        <v>817</v>
      </c>
      <c r="I159" s="14" t="s">
        <v>36</v>
      </c>
      <c r="J159" s="49" t="s">
        <v>818</v>
      </c>
      <c r="K159" s="50"/>
      <c r="L159" s="5" t="s">
        <v>819</v>
      </c>
      <c r="M159" s="5"/>
      <c r="N159" s="5"/>
      <c r="O159" s="5"/>
      <c r="P159" s="5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 x14ac:dyDescent="0.35">
      <c r="A160" s="12">
        <v>45510</v>
      </c>
      <c r="B160" s="13">
        <v>22749</v>
      </c>
      <c r="C160" s="14" t="s">
        <v>11</v>
      </c>
      <c r="D160" s="13" t="s">
        <v>704</v>
      </c>
      <c r="E160" s="15">
        <v>45441</v>
      </c>
      <c r="F160" s="16">
        <v>31706</v>
      </c>
      <c r="G160" s="16">
        <f t="shared" si="35"/>
        <v>52544</v>
      </c>
      <c r="H160" s="14" t="s">
        <v>820</v>
      </c>
      <c r="I160" s="14" t="s">
        <v>36</v>
      </c>
      <c r="J160" s="49">
        <v>3207504</v>
      </c>
      <c r="K160" s="50" t="s">
        <v>86</v>
      </c>
      <c r="L160" s="3" t="s">
        <v>821</v>
      </c>
      <c r="M160" s="11">
        <v>45511</v>
      </c>
      <c r="N160" s="5">
        <f>M160-E160</f>
        <v>70</v>
      </c>
      <c r="O160" s="5"/>
      <c r="P160" s="5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 x14ac:dyDescent="0.35">
      <c r="A161" s="12"/>
      <c r="B161" s="13"/>
      <c r="C161" s="14"/>
      <c r="D161" s="13"/>
      <c r="E161" s="47"/>
      <c r="F161" s="16"/>
      <c r="G161" s="16"/>
      <c r="H161" s="14"/>
      <c r="I161" s="14"/>
      <c r="J161" s="72"/>
      <c r="K161" s="15"/>
      <c r="L161" s="3"/>
      <c r="M161" s="11"/>
      <c r="N161" s="5"/>
      <c r="O161" s="5"/>
      <c r="P161" s="5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 x14ac:dyDescent="0.35">
      <c r="A162" s="12">
        <v>45495</v>
      </c>
      <c r="B162" s="13">
        <v>23120</v>
      </c>
      <c r="C162" s="14" t="s">
        <v>11</v>
      </c>
      <c r="D162" s="13" t="s">
        <v>30</v>
      </c>
      <c r="E162" s="15">
        <v>45463</v>
      </c>
      <c r="F162" s="16">
        <v>53802</v>
      </c>
      <c r="G162" s="16">
        <f t="shared" ref="G162:G163" si="36">((F162-3026)*1.5)+3026+11250</f>
        <v>90440</v>
      </c>
      <c r="H162" s="14" t="s">
        <v>822</v>
      </c>
      <c r="I162" s="14" t="s">
        <v>14</v>
      </c>
      <c r="J162" s="19">
        <v>3264705</v>
      </c>
      <c r="K162" s="47"/>
      <c r="L162" s="3"/>
      <c r="M162" s="11">
        <v>45499</v>
      </c>
      <c r="N162" s="5">
        <f t="shared" ref="N162:N164" si="37">M162-E162</f>
        <v>36</v>
      </c>
      <c r="O162" s="5"/>
      <c r="P162" s="5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35">
      <c r="A163" s="12">
        <v>45475</v>
      </c>
      <c r="B163" s="13">
        <v>12290</v>
      </c>
      <c r="C163" s="14" t="s">
        <v>11</v>
      </c>
      <c r="D163" s="13" t="s">
        <v>823</v>
      </c>
      <c r="E163" s="15">
        <v>45453</v>
      </c>
      <c r="F163" s="16">
        <v>67212</v>
      </c>
      <c r="G163" s="16">
        <f t="shared" si="36"/>
        <v>110555</v>
      </c>
      <c r="H163" s="14" t="s">
        <v>824</v>
      </c>
      <c r="I163" s="14" t="s">
        <v>14</v>
      </c>
      <c r="J163" s="14">
        <v>3252492</v>
      </c>
      <c r="K163" s="15"/>
      <c r="L163" s="3"/>
      <c r="M163" s="11">
        <v>45495</v>
      </c>
      <c r="N163" s="5">
        <f t="shared" si="37"/>
        <v>42</v>
      </c>
      <c r="O163" s="5"/>
      <c r="P163" s="5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35">
      <c r="A164" s="12">
        <v>45495</v>
      </c>
      <c r="B164" s="13">
        <v>27765</v>
      </c>
      <c r="C164" s="14" t="s">
        <v>57</v>
      </c>
      <c r="D164" s="14" t="s">
        <v>811</v>
      </c>
      <c r="E164" s="15">
        <v>45469</v>
      </c>
      <c r="F164" s="16">
        <v>82986</v>
      </c>
      <c r="G164" s="16">
        <f>((F164-4578)*1.45)+4578+11250</f>
        <v>129519.59999999999</v>
      </c>
      <c r="H164" s="14" t="s">
        <v>825</v>
      </c>
      <c r="I164" s="14" t="s">
        <v>14</v>
      </c>
      <c r="J164" s="14">
        <v>3256961</v>
      </c>
      <c r="K164" s="15"/>
      <c r="L164" s="3"/>
      <c r="M164" s="11">
        <v>45495</v>
      </c>
      <c r="N164" s="5">
        <f t="shared" si="37"/>
        <v>26</v>
      </c>
      <c r="O164" s="5"/>
      <c r="P164" s="5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35">
      <c r="A165" s="12">
        <v>45497</v>
      </c>
      <c r="B165" s="13">
        <v>23097</v>
      </c>
      <c r="C165" s="14" t="s">
        <v>11</v>
      </c>
      <c r="D165" s="13" t="s">
        <v>826</v>
      </c>
      <c r="E165" s="15">
        <v>45463</v>
      </c>
      <c r="F165" s="16">
        <v>50421</v>
      </c>
      <c r="G165" s="16">
        <f>((F165-3100)*1.5)+3100+11250</f>
        <v>85331.5</v>
      </c>
      <c r="H165" s="14" t="s">
        <v>827</v>
      </c>
      <c r="I165" s="14" t="s">
        <v>212</v>
      </c>
      <c r="J165" s="19" t="s">
        <v>300</v>
      </c>
      <c r="K165" s="15"/>
      <c r="L165" s="3" t="s">
        <v>819</v>
      </c>
      <c r="M165" s="5"/>
      <c r="N165" s="5"/>
      <c r="O165" s="5"/>
      <c r="P165" s="5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 x14ac:dyDescent="0.35">
      <c r="A166" s="12">
        <v>45478</v>
      </c>
      <c r="B166" s="13">
        <v>27764</v>
      </c>
      <c r="C166" s="14" t="s">
        <v>57</v>
      </c>
      <c r="D166" s="13" t="s">
        <v>665</v>
      </c>
      <c r="E166" s="15">
        <v>45475</v>
      </c>
      <c r="F166" s="16">
        <v>83500</v>
      </c>
      <c r="G166" s="16">
        <f>((F166-4578)*1.45)+4578+11250</f>
        <v>130264.9</v>
      </c>
      <c r="H166" s="14" t="s">
        <v>828</v>
      </c>
      <c r="I166" s="14" t="s">
        <v>14</v>
      </c>
      <c r="J166" s="14">
        <v>3254989</v>
      </c>
      <c r="K166" s="15"/>
      <c r="L166" s="3"/>
      <c r="M166" s="11">
        <v>45484</v>
      </c>
      <c r="N166" s="5">
        <f t="shared" ref="N166:N168" si="38">M166-E166</f>
        <v>9</v>
      </c>
      <c r="O166" s="5"/>
      <c r="P166" s="5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35">
      <c r="A167" s="12">
        <v>45474</v>
      </c>
      <c r="B167" s="13">
        <v>12157</v>
      </c>
      <c r="C167" s="14" t="s">
        <v>11</v>
      </c>
      <c r="D167" s="13" t="s">
        <v>829</v>
      </c>
      <c r="E167" s="15">
        <v>45418</v>
      </c>
      <c r="F167" s="16">
        <v>63415</v>
      </c>
      <c r="G167" s="16">
        <f>((F167-3132)*1.5)+3132+11250</f>
        <v>104806.5</v>
      </c>
      <c r="H167" s="14" t="s">
        <v>830</v>
      </c>
      <c r="I167" s="14" t="s">
        <v>36</v>
      </c>
      <c r="J167" s="19" t="s">
        <v>831</v>
      </c>
      <c r="K167" s="50"/>
      <c r="L167" s="3" t="s">
        <v>832</v>
      </c>
      <c r="M167" s="11">
        <v>45490</v>
      </c>
      <c r="N167" s="5">
        <f t="shared" si="38"/>
        <v>72</v>
      </c>
      <c r="O167" s="5"/>
      <c r="P167" s="5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35">
      <c r="A168" s="12">
        <v>45475</v>
      </c>
      <c r="B168" s="13">
        <v>27548</v>
      </c>
      <c r="C168" s="14" t="s">
        <v>57</v>
      </c>
      <c r="D168" s="13" t="s">
        <v>833</v>
      </c>
      <c r="E168" s="47">
        <v>45365</v>
      </c>
      <c r="F168" s="16">
        <v>71818</v>
      </c>
      <c r="G168" s="16">
        <f>((F168-4578)*1.45)+4578+11250</f>
        <v>113326</v>
      </c>
      <c r="H168" s="14" t="s">
        <v>834</v>
      </c>
      <c r="I168" s="14" t="s">
        <v>332</v>
      </c>
      <c r="J168" s="72">
        <v>3265403</v>
      </c>
      <c r="K168" s="15"/>
      <c r="L168" s="3" t="s">
        <v>835</v>
      </c>
      <c r="M168" s="11">
        <v>45484</v>
      </c>
      <c r="N168" s="5">
        <f t="shared" si="38"/>
        <v>119</v>
      </c>
      <c r="O168" s="5"/>
      <c r="P168" s="5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 x14ac:dyDescent="0.35">
      <c r="A169" s="12"/>
      <c r="B169" s="13"/>
      <c r="C169" s="14"/>
      <c r="D169" s="13"/>
      <c r="E169" s="47"/>
      <c r="F169" s="16"/>
      <c r="G169" s="16"/>
      <c r="H169" s="14"/>
      <c r="I169" s="14"/>
      <c r="J169" s="72"/>
      <c r="K169" s="15"/>
      <c r="L169" s="3"/>
      <c r="M169" s="11"/>
      <c r="N169" s="5"/>
      <c r="O169" s="5"/>
      <c r="P169" s="5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 x14ac:dyDescent="0.35">
      <c r="A170" s="12">
        <v>45471</v>
      </c>
      <c r="B170" s="13">
        <v>2213</v>
      </c>
      <c r="C170" s="14" t="s">
        <v>696</v>
      </c>
      <c r="D170" s="14" t="s">
        <v>836</v>
      </c>
      <c r="E170" s="15">
        <v>45195</v>
      </c>
      <c r="F170" s="63">
        <v>93100.39</v>
      </c>
      <c r="G170" s="16">
        <f>((F170-5800)*1.45)+5800+11250</f>
        <v>143635.5655</v>
      </c>
      <c r="H170" s="14" t="s">
        <v>837</v>
      </c>
      <c r="I170" s="14" t="s">
        <v>14</v>
      </c>
      <c r="J170" s="14">
        <v>3267620</v>
      </c>
      <c r="K170" s="15"/>
      <c r="L170" s="3"/>
      <c r="M170" s="11">
        <v>45476</v>
      </c>
      <c r="N170" s="5">
        <f t="shared" ref="N170:N171" si="39">M170-E170</f>
        <v>281</v>
      </c>
      <c r="O170" s="5"/>
      <c r="P170" s="5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 x14ac:dyDescent="0.35">
      <c r="A171" s="12">
        <v>45464</v>
      </c>
      <c r="B171" s="13">
        <v>23084</v>
      </c>
      <c r="C171" s="14" t="s">
        <v>11</v>
      </c>
      <c r="D171" s="13" t="s">
        <v>30</v>
      </c>
      <c r="E171" s="15">
        <v>45460</v>
      </c>
      <c r="F171" s="16">
        <v>53802</v>
      </c>
      <c r="G171" s="16">
        <f>((F171-3026)*1.5)+3026+11250</f>
        <v>90440</v>
      </c>
      <c r="H171" s="14" t="s">
        <v>838</v>
      </c>
      <c r="I171" s="14" t="s">
        <v>14</v>
      </c>
      <c r="J171" s="19">
        <v>3267275</v>
      </c>
      <c r="K171" s="15"/>
      <c r="L171" s="75"/>
      <c r="M171" s="11">
        <v>45472</v>
      </c>
      <c r="N171" s="5">
        <f t="shared" si="39"/>
        <v>12</v>
      </c>
      <c r="O171" s="5"/>
      <c r="P171" s="5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 x14ac:dyDescent="0.35">
      <c r="A172" s="12">
        <v>45470</v>
      </c>
      <c r="B172" s="13">
        <v>17018</v>
      </c>
      <c r="C172" s="14" t="s">
        <v>584</v>
      </c>
      <c r="D172" s="14" t="s">
        <v>585</v>
      </c>
      <c r="E172" s="15">
        <v>45467</v>
      </c>
      <c r="F172" s="16">
        <v>65242.93</v>
      </c>
      <c r="G172" s="16">
        <f>((F172)*1.5)+2730+11250</f>
        <v>111844.395</v>
      </c>
      <c r="H172" s="14" t="s">
        <v>839</v>
      </c>
      <c r="I172" s="14" t="s">
        <v>332</v>
      </c>
      <c r="J172" s="49"/>
      <c r="K172" s="50" t="s">
        <v>579</v>
      </c>
      <c r="L172" s="3" t="s">
        <v>840</v>
      </c>
      <c r="M172" s="5"/>
      <c r="N172" s="5"/>
      <c r="O172" s="5"/>
      <c r="P172" s="5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35">
      <c r="A173" s="12">
        <v>45460</v>
      </c>
      <c r="B173" s="13">
        <v>22415</v>
      </c>
      <c r="C173" s="14" t="s">
        <v>11</v>
      </c>
      <c r="D173" s="13" t="s">
        <v>17</v>
      </c>
      <c r="E173" s="15">
        <v>45400</v>
      </c>
      <c r="F173" s="16">
        <v>38886</v>
      </c>
      <c r="G173" s="16">
        <f>((F173-1320)*1.5)+1320+5750</f>
        <v>63419</v>
      </c>
      <c r="H173" s="14" t="s">
        <v>841</v>
      </c>
      <c r="I173" s="14" t="s">
        <v>31</v>
      </c>
      <c r="J173" s="19" t="s">
        <v>449</v>
      </c>
      <c r="K173" s="15" t="s">
        <v>842</v>
      </c>
      <c r="L173" s="3" t="s">
        <v>843</v>
      </c>
      <c r="M173" s="11">
        <v>45460</v>
      </c>
      <c r="N173" s="5">
        <f>M173-E173</f>
        <v>60</v>
      </c>
      <c r="O173" s="5"/>
      <c r="P173" s="5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35">
      <c r="A174" s="12">
        <v>45449</v>
      </c>
      <c r="B174" s="13">
        <v>2235</v>
      </c>
      <c r="C174" s="14" t="s">
        <v>41</v>
      </c>
      <c r="D174" s="14" t="s">
        <v>844</v>
      </c>
      <c r="E174" s="15">
        <v>44690</v>
      </c>
      <c r="F174" s="16">
        <v>68714</v>
      </c>
      <c r="G174" s="46">
        <f>((F174-1614)*1.5)+1614+5750</f>
        <v>108014</v>
      </c>
      <c r="H174" s="13" t="s">
        <v>845</v>
      </c>
      <c r="I174" s="14" t="s">
        <v>14</v>
      </c>
      <c r="J174" s="19" t="s">
        <v>300</v>
      </c>
      <c r="K174" s="15"/>
      <c r="L174" s="4" t="s">
        <v>846</v>
      </c>
      <c r="M174" s="26">
        <v>49474</v>
      </c>
      <c r="N174" s="22">
        <f>F174-M174</f>
        <v>19240</v>
      </c>
      <c r="O174" s="6"/>
      <c r="P174" s="3"/>
      <c r="Q174" s="3"/>
      <c r="R174" s="3"/>
      <c r="S174" s="3"/>
      <c r="T174" s="5"/>
      <c r="U174" s="5"/>
      <c r="V174" s="5"/>
      <c r="W174" s="5"/>
      <c r="X174" s="5"/>
      <c r="Y174" s="5"/>
      <c r="Z174" s="5"/>
    </row>
    <row r="175" spans="1:26" ht="14.25" customHeight="1" x14ac:dyDescent="0.35">
      <c r="A175" s="12">
        <v>45441</v>
      </c>
      <c r="B175" s="13">
        <v>12245</v>
      </c>
      <c r="C175" s="14" t="s">
        <v>11</v>
      </c>
      <c r="D175" s="13" t="s">
        <v>30</v>
      </c>
      <c r="E175" s="15">
        <v>45435</v>
      </c>
      <c r="F175" s="16">
        <v>53821</v>
      </c>
      <c r="G175" s="16">
        <f>((F175-2643)*1.5)+2643+11250</f>
        <v>90660</v>
      </c>
      <c r="H175" s="14" t="s">
        <v>847</v>
      </c>
      <c r="I175" s="14" t="s">
        <v>14</v>
      </c>
      <c r="J175" s="49">
        <v>3234830</v>
      </c>
      <c r="K175" s="50"/>
      <c r="L175" s="3"/>
      <c r="M175" s="11">
        <v>45447</v>
      </c>
      <c r="N175" s="5">
        <f t="shared" ref="N175:N176" si="40">M175-E175</f>
        <v>12</v>
      </c>
      <c r="O175" s="5"/>
      <c r="P175" s="5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 x14ac:dyDescent="0.35">
      <c r="A176" s="12">
        <v>45442</v>
      </c>
      <c r="B176" s="13">
        <v>27636</v>
      </c>
      <c r="C176" s="14" t="s">
        <v>57</v>
      </c>
      <c r="D176" s="14" t="s">
        <v>848</v>
      </c>
      <c r="E176" s="15">
        <v>45414</v>
      </c>
      <c r="F176" s="16">
        <v>107709</v>
      </c>
      <c r="G176" s="16">
        <f>((F176-4578)*1.45)+4578+11250</f>
        <v>165367.94999999998</v>
      </c>
      <c r="H176" s="14" t="s">
        <v>849</v>
      </c>
      <c r="I176" s="14" t="s">
        <v>14</v>
      </c>
      <c r="J176" s="19">
        <v>3202443</v>
      </c>
      <c r="K176" s="15"/>
      <c r="L176" s="3"/>
      <c r="M176" s="11">
        <v>45448</v>
      </c>
      <c r="N176" s="5">
        <f t="shared" si="40"/>
        <v>34</v>
      </c>
      <c r="O176" s="5"/>
      <c r="P176" s="5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35">
      <c r="A177" s="12"/>
      <c r="B177" s="13"/>
      <c r="C177" s="14"/>
      <c r="D177" s="14"/>
      <c r="E177" s="15"/>
      <c r="F177" s="16"/>
      <c r="G177" s="16"/>
      <c r="H177" s="14"/>
      <c r="I177" s="14"/>
      <c r="J177" s="49"/>
      <c r="K177" s="50"/>
      <c r="L177" s="3"/>
      <c r="M177" s="11"/>
      <c r="N177" s="5"/>
      <c r="O177" s="5"/>
      <c r="P177" s="5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 x14ac:dyDescent="0.35">
      <c r="A178" s="12">
        <v>45437</v>
      </c>
      <c r="B178" s="13">
        <v>16975</v>
      </c>
      <c r="C178" s="14" t="s">
        <v>584</v>
      </c>
      <c r="D178" s="14" t="s">
        <v>585</v>
      </c>
      <c r="E178" s="15">
        <v>45432</v>
      </c>
      <c r="F178" s="16">
        <v>61340.08</v>
      </c>
      <c r="G178" s="16">
        <f>((F178)*1.5)+2730+11250</f>
        <v>105990.12</v>
      </c>
      <c r="H178" s="14" t="s">
        <v>850</v>
      </c>
      <c r="I178" s="14" t="s">
        <v>14</v>
      </c>
      <c r="J178" s="49">
        <v>3221058</v>
      </c>
      <c r="K178" s="50"/>
      <c r="L178" s="3"/>
      <c r="M178" s="11">
        <v>45447</v>
      </c>
      <c r="N178" s="5">
        <f t="shared" ref="N178:N184" si="41">M178-E178</f>
        <v>15</v>
      </c>
      <c r="O178" s="5"/>
      <c r="P178" s="5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35">
      <c r="A179" s="12">
        <v>45437</v>
      </c>
      <c r="B179" s="13">
        <v>12201</v>
      </c>
      <c r="C179" s="14" t="s">
        <v>11</v>
      </c>
      <c r="D179" s="13" t="s">
        <v>851</v>
      </c>
      <c r="E179" s="15">
        <v>45426</v>
      </c>
      <c r="F179" s="16">
        <v>49390</v>
      </c>
      <c r="G179" s="16">
        <f t="shared" ref="G179:G180" si="42">((F179-2643)*1.5)+2643+11250</f>
        <v>84013.5</v>
      </c>
      <c r="H179" s="14" t="s">
        <v>852</v>
      </c>
      <c r="I179" s="14" t="s">
        <v>14</v>
      </c>
      <c r="J179" s="49">
        <v>3214847</v>
      </c>
      <c r="K179" s="50"/>
      <c r="L179" s="3"/>
      <c r="M179" s="11">
        <v>45440</v>
      </c>
      <c r="N179" s="5">
        <f t="shared" si="41"/>
        <v>14</v>
      </c>
      <c r="O179" s="5"/>
      <c r="P179" s="5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35">
      <c r="A180" s="12">
        <v>45437</v>
      </c>
      <c r="B180" s="13">
        <v>12101</v>
      </c>
      <c r="C180" s="14" t="s">
        <v>11</v>
      </c>
      <c r="D180" s="13" t="s">
        <v>30</v>
      </c>
      <c r="E180" s="15">
        <v>45408</v>
      </c>
      <c r="F180" s="16">
        <v>53834</v>
      </c>
      <c r="G180" s="16">
        <f t="shared" si="42"/>
        <v>90679.5</v>
      </c>
      <c r="H180" s="14" t="s">
        <v>853</v>
      </c>
      <c r="I180" s="14" t="s">
        <v>14</v>
      </c>
      <c r="J180" s="14">
        <v>3204843</v>
      </c>
      <c r="K180" s="15"/>
      <c r="L180" s="3"/>
      <c r="M180" s="11">
        <v>45441</v>
      </c>
      <c r="N180" s="5">
        <f t="shared" si="41"/>
        <v>33</v>
      </c>
      <c r="O180" s="5"/>
      <c r="P180" s="5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35">
      <c r="A181" s="12">
        <v>45428</v>
      </c>
      <c r="B181" s="13">
        <v>16992</v>
      </c>
      <c r="C181" s="14" t="s">
        <v>584</v>
      </c>
      <c r="D181" s="14" t="s">
        <v>585</v>
      </c>
      <c r="E181" s="15">
        <v>45432</v>
      </c>
      <c r="F181" s="16">
        <v>60968.38</v>
      </c>
      <c r="G181" s="16">
        <f>((F181)*1.5)+2730+11250</f>
        <v>105432.56999999999</v>
      </c>
      <c r="H181" s="14" t="s">
        <v>854</v>
      </c>
      <c r="I181" s="14" t="s">
        <v>14</v>
      </c>
      <c r="J181" s="49">
        <v>3225028</v>
      </c>
      <c r="K181" s="50"/>
      <c r="L181" s="3"/>
      <c r="M181" s="11">
        <v>45432</v>
      </c>
      <c r="N181" s="5">
        <f t="shared" si="41"/>
        <v>0</v>
      </c>
      <c r="O181" s="5"/>
      <c r="P181" s="5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35">
      <c r="A182" s="12">
        <v>45426</v>
      </c>
      <c r="B182" s="13">
        <v>22358</v>
      </c>
      <c r="C182" s="14" t="s">
        <v>11</v>
      </c>
      <c r="D182" s="13" t="s">
        <v>823</v>
      </c>
      <c r="E182" s="15">
        <v>45392</v>
      </c>
      <c r="F182" s="16">
        <v>66284</v>
      </c>
      <c r="G182" s="16">
        <f>((F182-2643)*1.5)+2643+11250</f>
        <v>109354.5</v>
      </c>
      <c r="H182" s="14" t="s">
        <v>855</v>
      </c>
      <c r="I182" s="14" t="s">
        <v>36</v>
      </c>
      <c r="J182" s="14">
        <v>3214346</v>
      </c>
      <c r="K182" s="15"/>
      <c r="L182" s="3" t="s">
        <v>856</v>
      </c>
      <c r="M182" s="11">
        <v>45432</v>
      </c>
      <c r="N182" s="5">
        <f t="shared" si="41"/>
        <v>40</v>
      </c>
      <c r="O182" s="5"/>
      <c r="P182" s="5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35">
      <c r="A183" s="12">
        <v>45421</v>
      </c>
      <c r="B183" s="13">
        <v>16825</v>
      </c>
      <c r="C183" s="14" t="s">
        <v>584</v>
      </c>
      <c r="D183" s="14" t="s">
        <v>585</v>
      </c>
      <c r="E183" s="15">
        <v>45352</v>
      </c>
      <c r="F183" s="16">
        <v>60896.11</v>
      </c>
      <c r="G183" s="16">
        <f>((F183)*1.5)+3000+11250</f>
        <v>105594.16500000001</v>
      </c>
      <c r="H183" s="14" t="s">
        <v>857</v>
      </c>
      <c r="I183" s="14" t="s">
        <v>14</v>
      </c>
      <c r="J183" s="49">
        <v>3183439</v>
      </c>
      <c r="K183" s="15"/>
      <c r="L183" s="3"/>
      <c r="M183" s="11">
        <v>45427</v>
      </c>
      <c r="N183" s="5">
        <f t="shared" si="41"/>
        <v>75</v>
      </c>
      <c r="O183" s="5"/>
      <c r="P183" s="5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35">
      <c r="A184" s="12">
        <v>45421</v>
      </c>
      <c r="B184" s="13">
        <v>12063</v>
      </c>
      <c r="C184" s="14" t="s">
        <v>11</v>
      </c>
      <c r="D184" s="13" t="s">
        <v>851</v>
      </c>
      <c r="E184" s="15">
        <v>45399</v>
      </c>
      <c r="F184" s="16">
        <v>48727</v>
      </c>
      <c r="G184" s="16">
        <f>((F184-2643)*1.5)+2643+11250</f>
        <v>83019</v>
      </c>
      <c r="H184" s="14" t="s">
        <v>858</v>
      </c>
      <c r="I184" s="14" t="s">
        <v>36</v>
      </c>
      <c r="J184" s="19" t="s">
        <v>429</v>
      </c>
      <c r="K184" s="15"/>
      <c r="L184" s="3" t="s">
        <v>859</v>
      </c>
      <c r="M184" s="11">
        <v>45422</v>
      </c>
      <c r="N184" s="5">
        <f t="shared" si="41"/>
        <v>23</v>
      </c>
      <c r="O184" s="5"/>
      <c r="P184" s="5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 x14ac:dyDescent="0.35">
      <c r="A185" s="12">
        <v>45413</v>
      </c>
      <c r="B185" s="13">
        <v>22189</v>
      </c>
      <c r="C185" s="14" t="s">
        <v>11</v>
      </c>
      <c r="D185" s="13" t="s">
        <v>860</v>
      </c>
      <c r="E185" s="47">
        <v>45366</v>
      </c>
      <c r="F185" s="16">
        <v>32883</v>
      </c>
      <c r="G185" s="16">
        <f>((F185-1530)*1.5)+1530+5750</f>
        <v>54309.5</v>
      </c>
      <c r="H185" s="14" t="s">
        <v>861</v>
      </c>
      <c r="I185" s="14" t="s">
        <v>332</v>
      </c>
      <c r="J185" s="49" t="s">
        <v>300</v>
      </c>
      <c r="K185" s="50"/>
      <c r="L185" s="3" t="s">
        <v>862</v>
      </c>
      <c r="M185" s="5"/>
      <c r="N185" s="5"/>
      <c r="O185" s="5"/>
      <c r="P185" s="5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35">
      <c r="A186" s="12"/>
      <c r="B186" s="13"/>
      <c r="C186" s="14"/>
      <c r="D186" s="13"/>
      <c r="E186" s="47"/>
      <c r="F186" s="16"/>
      <c r="G186" s="16"/>
      <c r="H186" s="14"/>
      <c r="I186" s="14"/>
      <c r="J186" s="49"/>
      <c r="K186" s="50"/>
      <c r="L186" s="3"/>
      <c r="M186" s="5"/>
      <c r="N186" s="5"/>
      <c r="O186" s="5"/>
      <c r="P186" s="5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 x14ac:dyDescent="0.35">
      <c r="A187" s="12">
        <v>45409</v>
      </c>
      <c r="B187" s="13">
        <v>27606</v>
      </c>
      <c r="C187" s="14" t="s">
        <v>57</v>
      </c>
      <c r="D187" s="14" t="s">
        <v>848</v>
      </c>
      <c r="E187" s="15">
        <v>45400</v>
      </c>
      <c r="F187" s="16">
        <v>107036</v>
      </c>
      <c r="G187" s="16">
        <f>((F187-4578)*1.45)+4578+11250</f>
        <v>164392.1</v>
      </c>
      <c r="H187" s="14" t="s">
        <v>863</v>
      </c>
      <c r="I187" s="14" t="s">
        <v>14</v>
      </c>
      <c r="J187" s="14">
        <v>3194062</v>
      </c>
      <c r="K187" s="15"/>
      <c r="L187" s="3"/>
      <c r="M187" s="11">
        <v>45414</v>
      </c>
      <c r="N187" s="5">
        <f t="shared" ref="N187:N189" si="43">M187-E187</f>
        <v>14</v>
      </c>
      <c r="O187" s="5"/>
      <c r="P187" s="5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35">
      <c r="A188" s="12">
        <v>45345</v>
      </c>
      <c r="B188" s="13">
        <v>27146</v>
      </c>
      <c r="C188" s="14" t="s">
        <v>57</v>
      </c>
      <c r="D188" s="14" t="s">
        <v>864</v>
      </c>
      <c r="E188" s="15">
        <v>45210</v>
      </c>
      <c r="F188" s="16">
        <v>79264</v>
      </c>
      <c r="G188" s="16">
        <f>((F188-4625)*1.45)+4625+11250</f>
        <v>124101.55</v>
      </c>
      <c r="H188" s="14" t="s">
        <v>865</v>
      </c>
      <c r="I188" s="14" t="s">
        <v>14</v>
      </c>
      <c r="J188" s="14">
        <v>3179165</v>
      </c>
      <c r="K188" s="15"/>
      <c r="L188" s="3" t="s">
        <v>866</v>
      </c>
      <c r="M188" s="11">
        <v>45349</v>
      </c>
      <c r="N188" s="5">
        <f t="shared" si="43"/>
        <v>139</v>
      </c>
      <c r="O188" s="5"/>
      <c r="P188" s="5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35">
      <c r="A189" s="12">
        <v>45404</v>
      </c>
      <c r="B189" s="13">
        <v>22367</v>
      </c>
      <c r="C189" s="14" t="s">
        <v>11</v>
      </c>
      <c r="D189" s="13" t="s">
        <v>30</v>
      </c>
      <c r="E189" s="15">
        <v>45397</v>
      </c>
      <c r="F189" s="16">
        <v>53087</v>
      </c>
      <c r="G189" s="16">
        <f>((F189-2643)*1.5)+2643+11250</f>
        <v>89559</v>
      </c>
      <c r="H189" s="14" t="s">
        <v>867</v>
      </c>
      <c r="I189" s="14" t="s">
        <v>31</v>
      </c>
      <c r="J189" s="14">
        <v>3220418</v>
      </c>
      <c r="K189" s="15"/>
      <c r="L189" s="3"/>
      <c r="M189" s="11">
        <v>45407</v>
      </c>
      <c r="N189" s="5">
        <f t="shared" si="43"/>
        <v>10</v>
      </c>
      <c r="O189" s="5"/>
      <c r="P189" s="5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35">
      <c r="A190" s="64" t="s">
        <v>868</v>
      </c>
      <c r="B190" s="13" t="s">
        <v>869</v>
      </c>
      <c r="C190" s="14" t="s">
        <v>636</v>
      </c>
      <c r="D190" s="14" t="s">
        <v>711</v>
      </c>
      <c r="E190" s="15">
        <v>44466</v>
      </c>
      <c r="F190" s="16">
        <v>59083.21</v>
      </c>
      <c r="G190" s="16">
        <f>((F190-4652)*1.45)+4652+5750</f>
        <v>89327.254499999995</v>
      </c>
      <c r="H190" s="14" t="s">
        <v>870</v>
      </c>
      <c r="I190" s="14" t="s">
        <v>31</v>
      </c>
      <c r="J190" s="19" t="s">
        <v>300</v>
      </c>
      <c r="K190" s="16" t="s">
        <v>871</v>
      </c>
      <c r="L190" s="5" t="s">
        <v>872</v>
      </c>
      <c r="M190" s="6"/>
      <c r="N190" s="6"/>
      <c r="O190" s="11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6" ht="15" customHeight="1" x14ac:dyDescent="0.35">
      <c r="A191" s="12">
        <v>45398</v>
      </c>
      <c r="B191" s="13">
        <v>112109</v>
      </c>
      <c r="C191" s="13" t="s">
        <v>873</v>
      </c>
      <c r="D191" s="13" t="s">
        <v>874</v>
      </c>
      <c r="E191" s="15">
        <v>45117</v>
      </c>
      <c r="F191" s="63">
        <v>104923.55</v>
      </c>
      <c r="G191" s="16">
        <f>((F191-9000)*1.45)+9000+11250</f>
        <v>159339.14749999999</v>
      </c>
      <c r="H191" s="13" t="s">
        <v>875</v>
      </c>
      <c r="I191" s="14" t="s">
        <v>36</v>
      </c>
      <c r="J191" s="19">
        <v>3222518</v>
      </c>
      <c r="K191" s="15"/>
      <c r="L191" s="3" t="s">
        <v>876</v>
      </c>
      <c r="M191" s="11">
        <v>45400</v>
      </c>
      <c r="N191" s="5">
        <f t="shared" ref="N191:N192" si="44">M191-E191</f>
        <v>283</v>
      </c>
      <c r="O191" s="5"/>
      <c r="P191" s="5"/>
    </row>
    <row r="192" spans="1:26" ht="14.25" customHeight="1" x14ac:dyDescent="0.35">
      <c r="A192" s="12">
        <v>45399</v>
      </c>
      <c r="B192" s="13">
        <v>27602</v>
      </c>
      <c r="C192" s="14" t="s">
        <v>57</v>
      </c>
      <c r="D192" s="13" t="s">
        <v>720</v>
      </c>
      <c r="E192" s="15">
        <v>45397</v>
      </c>
      <c r="F192" s="16">
        <v>80991</v>
      </c>
      <c r="G192" s="16">
        <f>((F192-5216)*1.45)+5216+11250</f>
        <v>126339.75</v>
      </c>
      <c r="H192" s="14" t="s">
        <v>877</v>
      </c>
      <c r="I192" s="13" t="s">
        <v>14</v>
      </c>
      <c r="J192" s="19">
        <v>3203245</v>
      </c>
      <c r="K192" s="15"/>
      <c r="L192" s="3"/>
      <c r="M192" s="11">
        <v>45400</v>
      </c>
      <c r="N192" s="5">
        <f t="shared" si="44"/>
        <v>3</v>
      </c>
      <c r="O192" s="5"/>
      <c r="P192" s="5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35">
      <c r="A193" s="12">
        <v>45395</v>
      </c>
      <c r="B193" s="13">
        <v>22161</v>
      </c>
      <c r="C193" s="14" t="s">
        <v>11</v>
      </c>
      <c r="D193" s="13" t="s">
        <v>17</v>
      </c>
      <c r="E193" s="47">
        <v>45363</v>
      </c>
      <c r="F193" s="16">
        <v>38460</v>
      </c>
      <c r="G193" s="16">
        <f t="shared" ref="G193:G194" si="45">((F193-1320)*1.5)+1320+5750</f>
        <v>62780</v>
      </c>
      <c r="H193" s="14" t="s">
        <v>878</v>
      </c>
      <c r="I193" s="14" t="s">
        <v>332</v>
      </c>
      <c r="J193" s="19" t="s">
        <v>300</v>
      </c>
      <c r="K193" s="15"/>
      <c r="L193" s="3" t="s">
        <v>879</v>
      </c>
      <c r="M193" s="5"/>
      <c r="N193" s="5"/>
      <c r="O193" s="5"/>
      <c r="P193" s="5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35">
      <c r="A194" s="12">
        <v>45388</v>
      </c>
      <c r="B194" s="13">
        <v>22337</v>
      </c>
      <c r="C194" s="14" t="s">
        <v>11</v>
      </c>
      <c r="D194" s="13" t="s">
        <v>880</v>
      </c>
      <c r="E194" s="15">
        <v>45390</v>
      </c>
      <c r="F194" s="16">
        <v>39360</v>
      </c>
      <c r="G194" s="16">
        <f t="shared" si="45"/>
        <v>64130</v>
      </c>
      <c r="H194" s="14" t="s">
        <v>881</v>
      </c>
      <c r="I194" s="14" t="s">
        <v>14</v>
      </c>
      <c r="J194" s="14">
        <v>3206162</v>
      </c>
      <c r="K194" s="15"/>
      <c r="L194" s="3"/>
      <c r="M194" s="11">
        <v>45390</v>
      </c>
      <c r="N194" s="5">
        <f t="shared" ref="N194:N196" si="46">M194-E194</f>
        <v>0</v>
      </c>
      <c r="O194" s="5"/>
      <c r="P194" s="5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35">
      <c r="A195" s="12">
        <v>45391</v>
      </c>
      <c r="B195" s="13">
        <v>11874</v>
      </c>
      <c r="C195" s="14" t="s">
        <v>11</v>
      </c>
      <c r="D195" s="13" t="s">
        <v>30</v>
      </c>
      <c r="E195" s="15">
        <v>45359</v>
      </c>
      <c r="F195" s="16">
        <v>52386</v>
      </c>
      <c r="G195" s="16">
        <f t="shared" ref="G195:G196" si="47">((F195-2643)*1.5)+2643+11250</f>
        <v>88507.5</v>
      </c>
      <c r="H195" s="14" t="s">
        <v>882</v>
      </c>
      <c r="I195" s="14" t="s">
        <v>31</v>
      </c>
      <c r="J195" s="14">
        <v>3055017</v>
      </c>
      <c r="K195" s="15"/>
      <c r="L195" s="3" t="s">
        <v>883</v>
      </c>
      <c r="M195" s="11">
        <v>45392</v>
      </c>
      <c r="N195" s="5">
        <f t="shared" si="46"/>
        <v>33</v>
      </c>
      <c r="O195" s="5"/>
      <c r="P195" s="5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 x14ac:dyDescent="0.35">
      <c r="A196" s="12">
        <v>45385</v>
      </c>
      <c r="B196" s="13">
        <v>22111</v>
      </c>
      <c r="C196" s="14" t="s">
        <v>11</v>
      </c>
      <c r="D196" s="13" t="s">
        <v>823</v>
      </c>
      <c r="E196" s="15">
        <v>45352</v>
      </c>
      <c r="F196" s="16">
        <v>64162</v>
      </c>
      <c r="G196" s="16">
        <f t="shared" si="47"/>
        <v>106171.5</v>
      </c>
      <c r="H196" s="14" t="s">
        <v>884</v>
      </c>
      <c r="I196" s="13" t="s">
        <v>36</v>
      </c>
      <c r="J196" s="19">
        <v>3179944</v>
      </c>
      <c r="K196" s="15"/>
      <c r="L196" s="3"/>
      <c r="M196" s="11">
        <v>45387</v>
      </c>
      <c r="N196" s="5">
        <f t="shared" si="46"/>
        <v>35</v>
      </c>
      <c r="O196" s="5"/>
      <c r="P196" s="5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 x14ac:dyDescent="0.35">
      <c r="A197" s="12"/>
      <c r="B197" s="13"/>
      <c r="C197" s="14"/>
      <c r="D197" s="13"/>
      <c r="E197" s="15"/>
      <c r="F197" s="16"/>
      <c r="G197" s="16"/>
      <c r="H197" s="14"/>
      <c r="I197" s="13"/>
      <c r="J197" s="19"/>
      <c r="K197" s="15"/>
      <c r="L197" s="3"/>
      <c r="M197" s="11"/>
      <c r="N197" s="5"/>
      <c r="O197" s="5"/>
      <c r="P197" s="5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 x14ac:dyDescent="0.35">
      <c r="A198" s="12">
        <v>45379</v>
      </c>
      <c r="B198" s="13">
        <v>2174</v>
      </c>
      <c r="C198" s="14" t="s">
        <v>41</v>
      </c>
      <c r="D198" s="14" t="s">
        <v>885</v>
      </c>
      <c r="E198" s="15">
        <v>44649</v>
      </c>
      <c r="F198" s="16">
        <v>65821</v>
      </c>
      <c r="G198" s="46">
        <f>((F198-1614)*1.5)+1614+5750</f>
        <v>103674.5</v>
      </c>
      <c r="H198" s="14" t="s">
        <v>886</v>
      </c>
      <c r="I198" s="14" t="s">
        <v>212</v>
      </c>
      <c r="J198" s="49">
        <v>3210204</v>
      </c>
      <c r="K198" s="50"/>
      <c r="L198" s="5"/>
      <c r="M198" s="11">
        <v>45384</v>
      </c>
      <c r="N198" s="5">
        <f t="shared" ref="N198:N207" si="48">M198-E198</f>
        <v>735</v>
      </c>
      <c r="O198" s="26">
        <v>48708</v>
      </c>
      <c r="P198" s="6">
        <f>F198-O198</f>
        <v>17113</v>
      </c>
      <c r="Q198" s="6">
        <f>((O198-4652)*1.45)+4652+5750</f>
        <v>74283.199999999997</v>
      </c>
      <c r="R198" s="3"/>
      <c r="S198" s="3"/>
      <c r="T198" s="5"/>
      <c r="U198" s="5"/>
      <c r="V198" s="5"/>
      <c r="W198" s="5"/>
      <c r="X198" s="5"/>
      <c r="Y198" s="5"/>
      <c r="Z198" s="5"/>
    </row>
    <row r="199" spans="1:26" ht="14.25" customHeight="1" x14ac:dyDescent="0.35">
      <c r="A199" s="12">
        <v>45372</v>
      </c>
      <c r="B199" s="13">
        <v>11719</v>
      </c>
      <c r="C199" s="14" t="s">
        <v>11</v>
      </c>
      <c r="D199" s="14" t="s">
        <v>851</v>
      </c>
      <c r="E199" s="15">
        <v>45329</v>
      </c>
      <c r="F199" s="16">
        <v>46742</v>
      </c>
      <c r="G199" s="16">
        <f t="shared" ref="G199:G200" si="49">((F199-2643)*1.5)+2643+11250</f>
        <v>80041.5</v>
      </c>
      <c r="H199" s="14" t="s">
        <v>887</v>
      </c>
      <c r="I199" s="14" t="s">
        <v>14</v>
      </c>
      <c r="J199" s="49">
        <v>3212463</v>
      </c>
      <c r="K199" s="50"/>
      <c r="L199" s="3"/>
      <c r="M199" s="11">
        <v>45377</v>
      </c>
      <c r="N199" s="5">
        <f t="shared" si="48"/>
        <v>48</v>
      </c>
      <c r="O199" s="5"/>
      <c r="P199" s="5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35">
      <c r="A200" s="12">
        <v>45376</v>
      </c>
      <c r="B200" s="13">
        <v>11939</v>
      </c>
      <c r="C200" s="14" t="s">
        <v>11</v>
      </c>
      <c r="D200" s="13" t="s">
        <v>700</v>
      </c>
      <c r="E200" s="15">
        <v>45376</v>
      </c>
      <c r="F200" s="16">
        <v>59381</v>
      </c>
      <c r="G200" s="16">
        <f t="shared" si="49"/>
        <v>99000</v>
      </c>
      <c r="H200" s="14" t="s">
        <v>888</v>
      </c>
      <c r="I200" s="14" t="s">
        <v>14</v>
      </c>
      <c r="J200" s="49">
        <v>3212499</v>
      </c>
      <c r="K200" s="50"/>
      <c r="L200" s="3"/>
      <c r="M200" s="11">
        <v>45379</v>
      </c>
      <c r="N200" s="5">
        <f t="shared" si="48"/>
        <v>3</v>
      </c>
      <c r="O200" s="5"/>
      <c r="P200" s="5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35">
      <c r="A201" s="12">
        <v>45358</v>
      </c>
      <c r="B201" s="13">
        <v>27368</v>
      </c>
      <c r="C201" s="14" t="s">
        <v>57</v>
      </c>
      <c r="D201" s="14" t="s">
        <v>848</v>
      </c>
      <c r="E201" s="15">
        <v>45275</v>
      </c>
      <c r="F201" s="16">
        <v>96976</v>
      </c>
      <c r="G201" s="16">
        <f>((F201-4625)*1.45)+4625+11250</f>
        <v>149783.94999999998</v>
      </c>
      <c r="H201" s="14" t="s">
        <v>889</v>
      </c>
      <c r="I201" s="14" t="s">
        <v>14</v>
      </c>
      <c r="J201" s="14">
        <v>3191106</v>
      </c>
      <c r="K201" s="15"/>
      <c r="L201" s="3"/>
      <c r="M201" s="11">
        <v>45365</v>
      </c>
      <c r="N201" s="5">
        <f t="shared" si="48"/>
        <v>90</v>
      </c>
      <c r="O201" s="5"/>
      <c r="P201" s="5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35">
      <c r="A202" s="12">
        <v>45363</v>
      </c>
      <c r="B202" s="13">
        <v>1491</v>
      </c>
      <c r="C202" s="14" t="s">
        <v>41</v>
      </c>
      <c r="D202" s="14" t="s">
        <v>890</v>
      </c>
      <c r="E202" s="15">
        <v>44479</v>
      </c>
      <c r="F202" s="16">
        <v>51023</v>
      </c>
      <c r="G202" s="46">
        <f>((F202-1614)*1.5)+1614+5750</f>
        <v>81477.5</v>
      </c>
      <c r="H202" s="14" t="s">
        <v>891</v>
      </c>
      <c r="I202" s="14" t="s">
        <v>31</v>
      </c>
      <c r="J202" s="14">
        <v>3197702</v>
      </c>
      <c r="K202" s="15"/>
      <c r="L202" s="3"/>
      <c r="M202" s="11">
        <v>45369</v>
      </c>
      <c r="N202" s="5">
        <f t="shared" si="48"/>
        <v>890</v>
      </c>
      <c r="O202" s="24">
        <v>33675</v>
      </c>
      <c r="P202" s="6">
        <f>F202-O202</f>
        <v>17348</v>
      </c>
      <c r="Q202" s="5"/>
      <c r="R202" s="5"/>
      <c r="S202" s="5"/>
      <c r="T202" s="5"/>
      <c r="U202" s="5"/>
      <c r="V202" s="5"/>
      <c r="W202" s="5"/>
      <c r="X202" s="5"/>
      <c r="Y202" s="5"/>
    </row>
    <row r="203" spans="1:26" ht="14.25" customHeight="1" x14ac:dyDescent="0.35">
      <c r="A203" s="12">
        <v>45369</v>
      </c>
      <c r="B203" s="13">
        <v>21841</v>
      </c>
      <c r="C203" s="14" t="s">
        <v>11</v>
      </c>
      <c r="D203" s="14" t="s">
        <v>892</v>
      </c>
      <c r="E203" s="15">
        <v>45314</v>
      </c>
      <c r="F203" s="16">
        <v>33418</v>
      </c>
      <c r="G203" s="16">
        <f>((F203-1320)*1.5)+1320+5750</f>
        <v>55217</v>
      </c>
      <c r="H203" s="14" t="s">
        <v>893</v>
      </c>
      <c r="I203" s="14" t="s">
        <v>14</v>
      </c>
      <c r="J203" s="19" t="s">
        <v>894</v>
      </c>
      <c r="K203" s="15"/>
      <c r="L203" s="3" t="s">
        <v>895</v>
      </c>
      <c r="M203" s="11">
        <v>45369</v>
      </c>
      <c r="N203" s="5">
        <f t="shared" si="48"/>
        <v>55</v>
      </c>
      <c r="O203" s="5"/>
      <c r="P203" s="5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35">
      <c r="A204" s="12">
        <v>45370</v>
      </c>
      <c r="B204" s="13">
        <v>21996</v>
      </c>
      <c r="C204" s="14" t="s">
        <v>11</v>
      </c>
      <c r="D204" s="13" t="s">
        <v>829</v>
      </c>
      <c r="E204" s="15">
        <v>45337</v>
      </c>
      <c r="F204" s="16">
        <v>60409</v>
      </c>
      <c r="G204" s="16">
        <f>((F204-3030)*1.5)+3030+11250</f>
        <v>100348.5</v>
      </c>
      <c r="H204" s="14" t="s">
        <v>896</v>
      </c>
      <c r="I204" s="14" t="s">
        <v>36</v>
      </c>
      <c r="J204" s="14">
        <v>3177947</v>
      </c>
      <c r="K204" s="15"/>
      <c r="L204" s="3"/>
      <c r="M204" s="11">
        <v>45371</v>
      </c>
      <c r="N204" s="5">
        <f t="shared" si="48"/>
        <v>34</v>
      </c>
      <c r="O204" s="5"/>
      <c r="P204" s="5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35">
      <c r="A205" s="12">
        <v>45365</v>
      </c>
      <c r="B205" s="13">
        <v>21310</v>
      </c>
      <c r="C205" s="14" t="s">
        <v>11</v>
      </c>
      <c r="D205" s="14" t="s">
        <v>816</v>
      </c>
      <c r="E205" s="15">
        <v>45316</v>
      </c>
      <c r="F205" s="16">
        <v>30166</v>
      </c>
      <c r="G205" s="16">
        <f>((F205-1452)*1.5)+1452+5750</f>
        <v>50273</v>
      </c>
      <c r="H205" s="14" t="s">
        <v>897</v>
      </c>
      <c r="I205" s="14" t="s">
        <v>36</v>
      </c>
      <c r="J205" s="19">
        <v>3214288</v>
      </c>
      <c r="K205" s="15"/>
      <c r="L205" s="3"/>
      <c r="M205" s="11">
        <v>45371</v>
      </c>
      <c r="N205" s="5">
        <f t="shared" si="48"/>
        <v>55</v>
      </c>
      <c r="O205" s="5"/>
      <c r="P205" s="5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 x14ac:dyDescent="0.35">
      <c r="A206" s="12">
        <v>45355</v>
      </c>
      <c r="B206" s="13">
        <v>11602</v>
      </c>
      <c r="C206" s="14" t="s">
        <v>11</v>
      </c>
      <c r="D206" s="14" t="s">
        <v>898</v>
      </c>
      <c r="E206" s="15">
        <v>45281</v>
      </c>
      <c r="F206" s="16">
        <v>59098</v>
      </c>
      <c r="G206" s="16">
        <f>((F206-3060)*1.5)+3060+11250</f>
        <v>98367</v>
      </c>
      <c r="H206" s="14" t="s">
        <v>899</v>
      </c>
      <c r="I206" s="13" t="s">
        <v>14</v>
      </c>
      <c r="J206" s="19">
        <v>3200275</v>
      </c>
      <c r="K206" s="15"/>
      <c r="L206" s="3"/>
      <c r="M206" s="11">
        <v>45363</v>
      </c>
      <c r="N206" s="5">
        <f t="shared" si="48"/>
        <v>82</v>
      </c>
      <c r="O206" s="5"/>
      <c r="P206" s="5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 x14ac:dyDescent="0.35">
      <c r="A207" s="12">
        <v>45352</v>
      </c>
      <c r="B207" s="13">
        <v>27482</v>
      </c>
      <c r="C207" s="14" t="s">
        <v>57</v>
      </c>
      <c r="D207" s="14" t="s">
        <v>546</v>
      </c>
      <c r="E207" s="15">
        <v>45337</v>
      </c>
      <c r="F207" s="16">
        <v>94366</v>
      </c>
      <c r="G207" s="16">
        <f>((F207-4625)*1.45)+4625+11250</f>
        <v>145999.45000000001</v>
      </c>
      <c r="H207" s="14" t="s">
        <v>900</v>
      </c>
      <c r="I207" s="13" t="s">
        <v>36</v>
      </c>
      <c r="J207" s="19">
        <v>3173325</v>
      </c>
      <c r="K207" s="15"/>
      <c r="L207" s="3"/>
      <c r="M207" s="11">
        <v>45359</v>
      </c>
      <c r="N207" s="5">
        <f t="shared" si="48"/>
        <v>22</v>
      </c>
      <c r="O207" s="5"/>
      <c r="P207" s="5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35">
      <c r="A208" s="12"/>
      <c r="B208" s="13"/>
      <c r="C208" s="14"/>
      <c r="D208" s="14"/>
      <c r="E208" s="15"/>
      <c r="F208" s="16"/>
      <c r="G208" s="16"/>
      <c r="H208" s="14"/>
      <c r="I208" s="13"/>
      <c r="J208" s="19"/>
      <c r="K208" s="15"/>
      <c r="L208" s="3"/>
      <c r="M208" s="11"/>
      <c r="N208" s="5"/>
      <c r="O208" s="5"/>
      <c r="P208" s="5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 x14ac:dyDescent="0.35">
      <c r="A209" s="12">
        <v>45343</v>
      </c>
      <c r="B209" s="13">
        <v>27172</v>
      </c>
      <c r="C209" s="14" t="s">
        <v>57</v>
      </c>
      <c r="D209" s="14" t="s">
        <v>764</v>
      </c>
      <c r="E209" s="15">
        <v>45223</v>
      </c>
      <c r="F209" s="16">
        <v>76119</v>
      </c>
      <c r="G209" s="16">
        <f>((F209-5216)*1.45)+5216+11250</f>
        <v>119275.34999999999</v>
      </c>
      <c r="H209" s="14" t="s">
        <v>901</v>
      </c>
      <c r="I209" s="14" t="s">
        <v>14</v>
      </c>
      <c r="J209" s="14">
        <v>3192963</v>
      </c>
      <c r="K209" s="15"/>
      <c r="L209" s="5"/>
      <c r="M209" s="11">
        <v>45346</v>
      </c>
      <c r="N209" s="5">
        <f t="shared" ref="N209:N215" si="50">M209-E209</f>
        <v>123</v>
      </c>
      <c r="O209" s="5"/>
      <c r="P209" s="5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35">
      <c r="A210" s="12">
        <v>45349</v>
      </c>
      <c r="B210" s="13" t="s">
        <v>902</v>
      </c>
      <c r="C210" s="14" t="s">
        <v>584</v>
      </c>
      <c r="D210" s="14" t="s">
        <v>903</v>
      </c>
      <c r="E210" s="15">
        <v>44855</v>
      </c>
      <c r="F210" s="16">
        <v>85897.13</v>
      </c>
      <c r="G210" s="46">
        <f>((F210-1614)*1.5)+4784+8000</f>
        <v>139208.69500000001</v>
      </c>
      <c r="H210" s="14" t="s">
        <v>904</v>
      </c>
      <c r="I210" s="14" t="s">
        <v>212</v>
      </c>
      <c r="J210" s="14">
        <v>3198990</v>
      </c>
      <c r="K210" s="15" t="s">
        <v>86</v>
      </c>
      <c r="L210" s="4" t="s">
        <v>905</v>
      </c>
      <c r="M210" s="11">
        <v>45351</v>
      </c>
      <c r="N210" s="5">
        <f t="shared" si="50"/>
        <v>496</v>
      </c>
      <c r="O210" s="6">
        <v>77307</v>
      </c>
      <c r="P210" s="22">
        <f>F210-O210</f>
        <v>8590.1300000000047</v>
      </c>
      <c r="Q210" s="5"/>
      <c r="R210" s="5"/>
      <c r="S210" s="5"/>
      <c r="T210" s="5"/>
      <c r="U210" s="5"/>
      <c r="V210" s="5"/>
      <c r="W210" s="5"/>
      <c r="X210" s="5"/>
      <c r="Y210" s="5"/>
    </row>
    <row r="211" spans="1:26" ht="14.25" customHeight="1" x14ac:dyDescent="0.35">
      <c r="A211" s="76">
        <v>45337</v>
      </c>
      <c r="B211" s="13">
        <v>11577</v>
      </c>
      <c r="C211" s="14" t="s">
        <v>11</v>
      </c>
      <c r="D211" s="14" t="s">
        <v>37</v>
      </c>
      <c r="E211" s="15">
        <v>45279</v>
      </c>
      <c r="F211" s="16">
        <v>45877</v>
      </c>
      <c r="G211" s="16">
        <f>((F211-3060)*1.5)+3060+11250</f>
        <v>78535.5</v>
      </c>
      <c r="H211" s="14" t="s">
        <v>906</v>
      </c>
      <c r="I211" s="13" t="s">
        <v>14</v>
      </c>
      <c r="J211" s="19">
        <v>3177310</v>
      </c>
      <c r="K211" s="15"/>
      <c r="L211" s="3"/>
      <c r="M211" s="11">
        <v>45339</v>
      </c>
      <c r="N211" s="5">
        <f t="shared" si="50"/>
        <v>60</v>
      </c>
      <c r="O211" s="5"/>
      <c r="P211" s="5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35">
      <c r="A212" s="12">
        <v>45339</v>
      </c>
      <c r="B212" s="13">
        <v>11766</v>
      </c>
      <c r="C212" s="14" t="s">
        <v>11</v>
      </c>
      <c r="D212" s="13" t="s">
        <v>30</v>
      </c>
      <c r="E212" s="15">
        <v>45341</v>
      </c>
      <c r="F212" s="16">
        <v>51498</v>
      </c>
      <c r="G212" s="16">
        <f>((F212-3013)*1.5)+3013+11250</f>
        <v>86990.5</v>
      </c>
      <c r="H212" s="14" t="s">
        <v>907</v>
      </c>
      <c r="I212" s="14" t="s">
        <v>14</v>
      </c>
      <c r="J212" s="14">
        <v>3197233</v>
      </c>
      <c r="K212" s="15"/>
      <c r="L212" s="3"/>
      <c r="M212" s="11">
        <v>45344</v>
      </c>
      <c r="N212" s="5">
        <f t="shared" si="50"/>
        <v>3</v>
      </c>
      <c r="O212" s="5"/>
      <c r="P212" s="5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35">
      <c r="A213" s="76">
        <v>45336</v>
      </c>
      <c r="B213" s="13">
        <v>20590</v>
      </c>
      <c r="C213" s="14" t="s">
        <v>11</v>
      </c>
      <c r="D213" s="14" t="s">
        <v>908</v>
      </c>
      <c r="E213" s="15">
        <v>45327</v>
      </c>
      <c r="F213" s="16">
        <v>27698</v>
      </c>
      <c r="G213" s="16">
        <f>((F213-1530)*1.5)+1530+5750</f>
        <v>46532</v>
      </c>
      <c r="H213" s="14" t="s">
        <v>909</v>
      </c>
      <c r="I213" s="14" t="s">
        <v>36</v>
      </c>
      <c r="J213" s="14">
        <v>3169211</v>
      </c>
      <c r="K213" s="15"/>
      <c r="L213" s="3"/>
      <c r="M213" s="11">
        <v>45337</v>
      </c>
      <c r="N213" s="5">
        <f t="shared" si="50"/>
        <v>10</v>
      </c>
      <c r="O213" s="5"/>
      <c r="P213" s="5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35">
      <c r="A214" s="76">
        <v>45329</v>
      </c>
      <c r="B214" s="13">
        <v>21878</v>
      </c>
      <c r="C214" s="14" t="s">
        <v>11</v>
      </c>
      <c r="D214" s="14" t="s">
        <v>17</v>
      </c>
      <c r="E214" s="15">
        <v>45320</v>
      </c>
      <c r="F214" s="16">
        <v>37094</v>
      </c>
      <c r="G214" s="16">
        <f>((F214-1320)*1.5)+1320+5750</f>
        <v>60731</v>
      </c>
      <c r="H214" s="14" t="s">
        <v>910</v>
      </c>
      <c r="I214" s="14" t="s">
        <v>14</v>
      </c>
      <c r="J214" s="14">
        <v>3181898</v>
      </c>
      <c r="K214" s="15"/>
      <c r="L214" s="3"/>
      <c r="M214" s="11">
        <v>45335</v>
      </c>
      <c r="N214" s="5">
        <f t="shared" si="50"/>
        <v>15</v>
      </c>
      <c r="O214" s="5"/>
      <c r="P214" s="5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35">
      <c r="A215" s="76">
        <v>45332</v>
      </c>
      <c r="B215" s="13">
        <v>11640</v>
      </c>
      <c r="C215" s="14" t="s">
        <v>11</v>
      </c>
      <c r="D215" s="13" t="s">
        <v>30</v>
      </c>
      <c r="E215" s="15">
        <v>45303</v>
      </c>
      <c r="F215" s="16">
        <v>49895</v>
      </c>
      <c r="G215" s="16">
        <f>((F215-2643)*1.5)+2643+11250</f>
        <v>84771</v>
      </c>
      <c r="H215" s="14" t="s">
        <v>911</v>
      </c>
      <c r="I215" s="14" t="s">
        <v>31</v>
      </c>
      <c r="J215" s="14">
        <v>3174880</v>
      </c>
      <c r="K215" s="15"/>
      <c r="L215" s="3"/>
      <c r="M215" s="11">
        <v>45336</v>
      </c>
      <c r="N215" s="5">
        <f t="shared" si="50"/>
        <v>33</v>
      </c>
      <c r="O215" s="5"/>
      <c r="P215" s="5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35">
      <c r="A216" s="76">
        <v>45328</v>
      </c>
      <c r="B216" s="13">
        <v>3745</v>
      </c>
      <c r="C216" s="14" t="s">
        <v>41</v>
      </c>
      <c r="D216" s="14" t="s">
        <v>912</v>
      </c>
      <c r="E216" s="15">
        <v>45294</v>
      </c>
      <c r="F216" s="16">
        <v>92205</v>
      </c>
      <c r="G216" s="16">
        <f>((F216-4625)*1.45)+4050+11250</f>
        <v>142291</v>
      </c>
      <c r="H216" s="14" t="s">
        <v>913</v>
      </c>
      <c r="I216" s="14" t="s">
        <v>332</v>
      </c>
      <c r="J216" s="19" t="s">
        <v>579</v>
      </c>
      <c r="K216" s="15" t="s">
        <v>663</v>
      </c>
      <c r="L216" s="3" t="s">
        <v>914</v>
      </c>
      <c r="M216" s="5"/>
      <c r="N216" s="5"/>
      <c r="O216" s="5"/>
      <c r="P216" s="5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35">
      <c r="A217" s="76">
        <v>45323</v>
      </c>
      <c r="B217" s="13">
        <v>21733</v>
      </c>
      <c r="C217" s="14" t="s">
        <v>11</v>
      </c>
      <c r="D217" s="14" t="s">
        <v>915</v>
      </c>
      <c r="E217" s="15">
        <v>45282</v>
      </c>
      <c r="F217" s="16">
        <v>35141</v>
      </c>
      <c r="G217" s="16">
        <f>((F217-1320)*1.5)+1320+5750</f>
        <v>57801.5</v>
      </c>
      <c r="H217" s="14" t="s">
        <v>916</v>
      </c>
      <c r="I217" s="14" t="s">
        <v>31</v>
      </c>
      <c r="J217" s="19">
        <v>3182428</v>
      </c>
      <c r="K217" s="15" t="s">
        <v>86</v>
      </c>
      <c r="L217" s="3" t="s">
        <v>917</v>
      </c>
      <c r="M217" s="11">
        <v>45330</v>
      </c>
      <c r="N217" s="5">
        <f t="shared" ref="N217:N218" si="51">M217-E217</f>
        <v>48</v>
      </c>
      <c r="O217" s="5"/>
      <c r="P217" s="5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35">
      <c r="A218" s="76">
        <v>45324</v>
      </c>
      <c r="B218" s="13">
        <v>11673</v>
      </c>
      <c r="C218" s="14" t="s">
        <v>11</v>
      </c>
      <c r="D218" s="13" t="s">
        <v>30</v>
      </c>
      <c r="E218" s="15">
        <v>45315</v>
      </c>
      <c r="F218" s="16">
        <v>49895</v>
      </c>
      <c r="G218" s="16">
        <f>((F218-2643)*1.5)+2643+11250</f>
        <v>84771</v>
      </c>
      <c r="H218" s="14" t="s">
        <v>918</v>
      </c>
      <c r="I218" s="14" t="s">
        <v>332</v>
      </c>
      <c r="J218" s="14">
        <v>3187741</v>
      </c>
      <c r="K218" s="15"/>
      <c r="L218" s="3" t="s">
        <v>758</v>
      </c>
      <c r="M218" s="11">
        <v>45328</v>
      </c>
      <c r="N218" s="5">
        <f t="shared" si="51"/>
        <v>13</v>
      </c>
      <c r="O218" s="5"/>
      <c r="P218" s="5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35">
      <c r="A219" s="76"/>
      <c r="B219" s="13"/>
      <c r="C219" s="14"/>
      <c r="D219" s="13"/>
      <c r="E219" s="15"/>
      <c r="F219" s="16"/>
      <c r="G219" s="16"/>
      <c r="H219" s="14"/>
      <c r="I219" s="14"/>
      <c r="J219" s="14"/>
      <c r="K219" s="15"/>
      <c r="L219" s="3"/>
      <c r="M219" s="11"/>
      <c r="N219" s="5"/>
      <c r="O219" s="5"/>
      <c r="P219" s="5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 x14ac:dyDescent="0.35">
      <c r="A220" s="76">
        <v>45321</v>
      </c>
      <c r="B220" s="13">
        <v>23151</v>
      </c>
      <c r="C220" s="14" t="s">
        <v>919</v>
      </c>
      <c r="D220" s="13" t="s">
        <v>920</v>
      </c>
      <c r="E220" s="15">
        <v>45030</v>
      </c>
      <c r="F220" s="71">
        <v>43934.52</v>
      </c>
      <c r="G220" s="16">
        <v>58000</v>
      </c>
      <c r="H220" s="14" t="s">
        <v>921</v>
      </c>
      <c r="I220" s="14" t="s">
        <v>14</v>
      </c>
      <c r="J220" s="15" t="s">
        <v>300</v>
      </c>
      <c r="K220" s="15"/>
      <c r="L220" s="5" t="s">
        <v>922</v>
      </c>
      <c r="M220" s="26">
        <v>37784</v>
      </c>
      <c r="N220" s="22">
        <f>F220-M220</f>
        <v>6150.5199999999968</v>
      </c>
      <c r="O220" s="5"/>
      <c r="P220" s="3"/>
      <c r="Q220" s="3"/>
      <c r="R220" s="3"/>
      <c r="S220" s="3"/>
      <c r="T220" s="5"/>
      <c r="U220" s="5"/>
      <c r="V220" s="5"/>
      <c r="W220" s="5"/>
      <c r="X220" s="5"/>
      <c r="Y220" s="5"/>
      <c r="Z220" s="5"/>
    </row>
    <row r="221" spans="1:26" ht="14.25" customHeight="1" x14ac:dyDescent="0.35">
      <c r="A221" s="76">
        <v>45302</v>
      </c>
      <c r="B221" s="13">
        <v>21698</v>
      </c>
      <c r="C221" s="14" t="s">
        <v>11</v>
      </c>
      <c r="D221" s="14" t="s">
        <v>30</v>
      </c>
      <c r="E221" s="15">
        <v>45275</v>
      </c>
      <c r="F221" s="16">
        <v>49913</v>
      </c>
      <c r="G221" s="16">
        <f>((F221-2643)*1.5)+2643+11250</f>
        <v>84798</v>
      </c>
      <c r="H221" s="14" t="s">
        <v>923</v>
      </c>
      <c r="I221" s="14" t="s">
        <v>14</v>
      </c>
      <c r="J221" s="14">
        <v>3177688</v>
      </c>
      <c r="K221" s="15"/>
      <c r="L221" s="3"/>
      <c r="M221" s="11">
        <v>45310</v>
      </c>
      <c r="N221" s="5">
        <f t="shared" ref="N221:N223" si="52">M221-E221</f>
        <v>35</v>
      </c>
      <c r="O221" s="5"/>
      <c r="P221" s="5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35">
      <c r="A222" s="76">
        <v>45308</v>
      </c>
      <c r="B222" s="13">
        <v>11250</v>
      </c>
      <c r="C222" s="14" t="s">
        <v>11</v>
      </c>
      <c r="D222" s="14" t="s">
        <v>30</v>
      </c>
      <c r="E222" s="15">
        <v>45244</v>
      </c>
      <c r="F222" s="16">
        <v>50072</v>
      </c>
      <c r="G222" s="16">
        <f>((F222-3060)*1.5)+3060+11250</f>
        <v>84828</v>
      </c>
      <c r="H222" s="14" t="s">
        <v>924</v>
      </c>
      <c r="I222" s="14" t="s">
        <v>31</v>
      </c>
      <c r="J222" s="14">
        <v>3172571</v>
      </c>
      <c r="K222" s="15"/>
      <c r="L222" s="3"/>
      <c r="M222" s="11">
        <v>45313</v>
      </c>
      <c r="N222" s="5">
        <f t="shared" si="52"/>
        <v>69</v>
      </c>
      <c r="O222" s="5"/>
      <c r="P222" s="5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35">
      <c r="A223" s="76">
        <v>45310</v>
      </c>
      <c r="B223" s="13">
        <v>16620</v>
      </c>
      <c r="C223" s="14" t="s">
        <v>584</v>
      </c>
      <c r="D223" s="14" t="s">
        <v>925</v>
      </c>
      <c r="E223" s="15">
        <v>45257</v>
      </c>
      <c r="F223" s="16">
        <v>60586.36</v>
      </c>
      <c r="G223" s="16">
        <f>((F223)*1.5)+2730+11250</f>
        <v>104859.54000000001</v>
      </c>
      <c r="H223" s="14" t="s">
        <v>926</v>
      </c>
      <c r="I223" s="14" t="s">
        <v>212</v>
      </c>
      <c r="J223" s="19">
        <v>3177973</v>
      </c>
      <c r="K223" s="15"/>
      <c r="L223" s="3"/>
      <c r="M223" s="11">
        <v>45313</v>
      </c>
      <c r="N223" s="5">
        <f t="shared" si="52"/>
        <v>56</v>
      </c>
      <c r="O223" s="5"/>
      <c r="P223" s="5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35">
      <c r="A224" s="76">
        <v>45302</v>
      </c>
      <c r="B224" s="13">
        <v>21540</v>
      </c>
      <c r="C224" s="14" t="s">
        <v>11</v>
      </c>
      <c r="D224" s="14" t="s">
        <v>17</v>
      </c>
      <c r="E224" s="15">
        <v>45243</v>
      </c>
      <c r="F224" s="16">
        <v>37117</v>
      </c>
      <c r="G224" s="16">
        <f>((F224-1320)*1.5)+1320+5750</f>
        <v>60765.5</v>
      </c>
      <c r="H224" s="13" t="s">
        <v>927</v>
      </c>
      <c r="I224" s="14" t="s">
        <v>212</v>
      </c>
      <c r="J224" s="19" t="s">
        <v>300</v>
      </c>
      <c r="K224" s="15" t="s">
        <v>663</v>
      </c>
      <c r="L224" s="3" t="s">
        <v>928</v>
      </c>
      <c r="M224" s="5"/>
      <c r="N224" s="59"/>
      <c r="O224" s="5"/>
      <c r="P224" s="5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 x14ac:dyDescent="0.35">
      <c r="A225" s="76"/>
      <c r="B225" s="13"/>
      <c r="C225" s="14"/>
      <c r="D225" s="14"/>
      <c r="E225" s="15"/>
      <c r="F225" s="16"/>
      <c r="G225" s="16"/>
      <c r="H225" s="13"/>
      <c r="I225" s="14"/>
      <c r="J225" s="19"/>
      <c r="K225" s="15"/>
      <c r="L225" s="3"/>
      <c r="M225" s="5"/>
      <c r="N225" s="59"/>
      <c r="O225" s="5"/>
      <c r="P225" s="5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 x14ac:dyDescent="0.35">
      <c r="A226" s="76">
        <v>45280</v>
      </c>
      <c r="B226" s="13">
        <v>27201</v>
      </c>
      <c r="C226" s="14" t="s">
        <v>57</v>
      </c>
      <c r="D226" s="14" t="s">
        <v>546</v>
      </c>
      <c r="E226" s="15">
        <v>45239</v>
      </c>
      <c r="F226" s="16">
        <v>91649</v>
      </c>
      <c r="G226" s="16">
        <f>((F226-4625)*1.45)+4625+8250</f>
        <v>139059.79999999999</v>
      </c>
      <c r="H226" s="14" t="s">
        <v>929</v>
      </c>
      <c r="I226" s="14" t="s">
        <v>14</v>
      </c>
      <c r="J226" s="19">
        <v>3166102</v>
      </c>
      <c r="K226" s="15"/>
      <c r="L226" s="5"/>
      <c r="M226" s="11">
        <v>45281</v>
      </c>
      <c r="N226" s="5">
        <f t="shared" ref="N226:N228" si="53">M226-E226</f>
        <v>42</v>
      </c>
      <c r="O226" s="5"/>
      <c r="P226" s="5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 x14ac:dyDescent="0.35">
      <c r="A227" s="76">
        <v>45267</v>
      </c>
      <c r="B227" s="13">
        <v>11171</v>
      </c>
      <c r="C227" s="14" t="s">
        <v>11</v>
      </c>
      <c r="D227" s="13" t="s">
        <v>30</v>
      </c>
      <c r="E227" s="77">
        <v>45222</v>
      </c>
      <c r="F227" s="16">
        <v>50085</v>
      </c>
      <c r="G227" s="16">
        <f>((F227-2643)*1.5)+2643+8250</f>
        <v>82056</v>
      </c>
      <c r="H227" s="14" t="s">
        <v>930</v>
      </c>
      <c r="I227" s="14" t="s">
        <v>14</v>
      </c>
      <c r="J227" s="14">
        <v>3153956</v>
      </c>
      <c r="K227" s="15"/>
      <c r="L227" s="3"/>
      <c r="M227" s="11">
        <v>45271</v>
      </c>
      <c r="N227" s="5">
        <f t="shared" si="53"/>
        <v>49</v>
      </c>
      <c r="O227" s="5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 x14ac:dyDescent="0.35">
      <c r="A228" s="76">
        <v>45271</v>
      </c>
      <c r="B228" s="13">
        <v>21555</v>
      </c>
      <c r="C228" s="14" t="s">
        <v>11</v>
      </c>
      <c r="D228" s="14" t="s">
        <v>17</v>
      </c>
      <c r="E228" s="15">
        <v>45233</v>
      </c>
      <c r="F228" s="16">
        <v>37119</v>
      </c>
      <c r="G228" s="16">
        <f>((F228-1320)*1.5)+1320+4250</f>
        <v>59268.5</v>
      </c>
      <c r="H228" s="13" t="s">
        <v>931</v>
      </c>
      <c r="I228" s="14" t="s">
        <v>31</v>
      </c>
      <c r="J228" s="19" t="s">
        <v>449</v>
      </c>
      <c r="K228" s="15" t="s">
        <v>663</v>
      </c>
      <c r="L228" s="3" t="s">
        <v>932</v>
      </c>
      <c r="M228" s="11">
        <v>45271</v>
      </c>
      <c r="N228" s="5">
        <f t="shared" si="53"/>
        <v>38</v>
      </c>
      <c r="O228" s="5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 x14ac:dyDescent="0.35">
      <c r="A229" s="76"/>
      <c r="B229" s="13"/>
      <c r="C229" s="14"/>
      <c r="D229" s="14"/>
      <c r="E229" s="15"/>
      <c r="F229" s="16"/>
      <c r="G229" s="16"/>
      <c r="H229" s="13"/>
      <c r="I229" s="14"/>
      <c r="J229" s="19"/>
      <c r="K229" s="15"/>
      <c r="L229" s="3"/>
      <c r="M229" s="11"/>
      <c r="N229" s="5"/>
      <c r="O229" s="5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 x14ac:dyDescent="0.35">
      <c r="A230" s="76">
        <v>45258</v>
      </c>
      <c r="B230" s="13">
        <v>2046</v>
      </c>
      <c r="C230" s="14" t="s">
        <v>41</v>
      </c>
      <c r="D230" s="14" t="s">
        <v>933</v>
      </c>
      <c r="E230" s="15">
        <v>44617</v>
      </c>
      <c r="F230" s="16">
        <v>65924</v>
      </c>
      <c r="G230" s="46">
        <f>((F230-1614)*1.5)+1614+4250</f>
        <v>102329</v>
      </c>
      <c r="H230" s="14" t="s">
        <v>934</v>
      </c>
      <c r="I230" s="14" t="s">
        <v>14</v>
      </c>
      <c r="J230" s="19">
        <v>3149368</v>
      </c>
      <c r="K230" s="15"/>
      <c r="L230" s="3" t="s">
        <v>935</v>
      </c>
      <c r="M230" s="6">
        <v>52739</v>
      </c>
      <c r="N230" s="6">
        <f>F230-M230</f>
        <v>13185</v>
      </c>
      <c r="O230" s="11"/>
      <c r="P230" s="5"/>
    </row>
    <row r="231" spans="1:26" ht="14.25" customHeight="1" x14ac:dyDescent="0.35">
      <c r="A231" s="76">
        <v>45251</v>
      </c>
      <c r="B231" s="13">
        <v>11144</v>
      </c>
      <c r="C231" s="14" t="s">
        <v>11</v>
      </c>
      <c r="D231" s="14" t="s">
        <v>30</v>
      </c>
      <c r="E231" s="15">
        <v>45212</v>
      </c>
      <c r="F231" s="16">
        <v>50085</v>
      </c>
      <c r="G231" s="16">
        <f>((F231-2643)*1.5)+2643+8250</f>
        <v>82056</v>
      </c>
      <c r="H231" s="13" t="s">
        <v>936</v>
      </c>
      <c r="I231" s="14" t="s">
        <v>14</v>
      </c>
      <c r="J231" s="19" t="s">
        <v>671</v>
      </c>
      <c r="K231" s="15"/>
      <c r="L231" s="3" t="s">
        <v>937</v>
      </c>
      <c r="M231" s="11">
        <v>45258</v>
      </c>
      <c r="N231" s="5">
        <f t="shared" ref="N231:N235" si="54">M231-E231</f>
        <v>46</v>
      </c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 x14ac:dyDescent="0.35">
      <c r="A232" s="76" t="s">
        <v>938</v>
      </c>
      <c r="B232" s="13">
        <v>27217</v>
      </c>
      <c r="C232" s="14" t="s">
        <v>57</v>
      </c>
      <c r="D232" s="14" t="s">
        <v>939</v>
      </c>
      <c r="E232" s="15">
        <v>45251</v>
      </c>
      <c r="F232" s="16">
        <v>96433</v>
      </c>
      <c r="G232" s="16">
        <f>((F232-4625)*1.45)+4625+8250</f>
        <v>145996.6</v>
      </c>
      <c r="H232" s="14" t="s">
        <v>940</v>
      </c>
      <c r="I232" s="14" t="s">
        <v>36</v>
      </c>
      <c r="J232" s="14">
        <v>3132360</v>
      </c>
      <c r="K232" s="15"/>
      <c r="L232" s="3"/>
      <c r="M232" s="11">
        <v>45258</v>
      </c>
      <c r="N232" s="5">
        <f t="shared" si="54"/>
        <v>7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 x14ac:dyDescent="0.35">
      <c r="A233" s="76">
        <v>45245</v>
      </c>
      <c r="B233" s="13">
        <v>21550</v>
      </c>
      <c r="C233" s="14" t="s">
        <v>11</v>
      </c>
      <c r="D233" s="14" t="s">
        <v>941</v>
      </c>
      <c r="E233" s="15">
        <v>45246</v>
      </c>
      <c r="F233" s="16">
        <v>62471</v>
      </c>
      <c r="G233" s="16">
        <f>((F233-2643)*1.5)+2643+8250</f>
        <v>100635</v>
      </c>
      <c r="H233" s="14" t="s">
        <v>942</v>
      </c>
      <c r="I233" s="14" t="s">
        <v>14</v>
      </c>
      <c r="J233" s="14">
        <v>3133148</v>
      </c>
      <c r="K233" s="15"/>
      <c r="L233" s="3"/>
      <c r="M233" s="17">
        <v>45247</v>
      </c>
      <c r="N233" s="5">
        <f t="shared" si="54"/>
        <v>1</v>
      </c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" customHeight="1" x14ac:dyDescent="0.35">
      <c r="A234" s="76">
        <v>45232</v>
      </c>
      <c r="B234" s="13">
        <v>20162</v>
      </c>
      <c r="C234" s="13" t="s">
        <v>11</v>
      </c>
      <c r="D234" s="13" t="s">
        <v>943</v>
      </c>
      <c r="E234" s="15">
        <v>45065</v>
      </c>
      <c r="F234" s="63">
        <v>37881</v>
      </c>
      <c r="G234" s="16">
        <f>((F234-1320)*1.5)+1320+4250</f>
        <v>60411.5</v>
      </c>
      <c r="H234" s="14" t="s">
        <v>944</v>
      </c>
      <c r="I234" s="14" t="s">
        <v>31</v>
      </c>
      <c r="J234" s="14">
        <v>3126461</v>
      </c>
      <c r="K234" s="15"/>
      <c r="L234" s="59" t="s">
        <v>945</v>
      </c>
      <c r="M234" s="11">
        <v>45233</v>
      </c>
      <c r="N234" s="5">
        <f t="shared" si="54"/>
        <v>168</v>
      </c>
    </row>
    <row r="235" spans="1:26" ht="14.25" customHeight="1" x14ac:dyDescent="0.35">
      <c r="A235" s="76">
        <v>45236</v>
      </c>
      <c r="B235" s="13">
        <v>27192</v>
      </c>
      <c r="C235" s="14" t="s">
        <v>57</v>
      </c>
      <c r="D235" s="14" t="s">
        <v>546</v>
      </c>
      <c r="E235" s="15">
        <v>45232</v>
      </c>
      <c r="F235" s="16">
        <v>93459</v>
      </c>
      <c r="G235" s="16">
        <f>((F235-4625)*1.45)+4625+8250</f>
        <v>141684.29999999999</v>
      </c>
      <c r="H235" s="14" t="s">
        <v>946</v>
      </c>
      <c r="I235" s="14" t="s">
        <v>14</v>
      </c>
      <c r="J235" s="14">
        <v>3133129</v>
      </c>
      <c r="K235" s="15"/>
      <c r="L235" s="3"/>
      <c r="M235" s="11">
        <v>45238</v>
      </c>
      <c r="N235" s="5">
        <f t="shared" si="54"/>
        <v>6</v>
      </c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 x14ac:dyDescent="0.35">
      <c r="A236" s="76"/>
      <c r="B236" s="13"/>
      <c r="C236" s="14"/>
      <c r="D236" s="14"/>
      <c r="E236" s="15"/>
      <c r="F236" s="16"/>
      <c r="G236" s="16"/>
      <c r="H236" s="14"/>
      <c r="I236" s="14"/>
      <c r="J236" s="14"/>
      <c r="K236" s="15"/>
      <c r="L236" s="3"/>
      <c r="M236" s="11"/>
      <c r="N236" s="5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 x14ac:dyDescent="0.35">
      <c r="A237" s="76">
        <v>45211</v>
      </c>
      <c r="B237" s="13">
        <v>34577</v>
      </c>
      <c r="C237" s="13" t="s">
        <v>66</v>
      </c>
      <c r="D237" s="14" t="s">
        <v>947</v>
      </c>
      <c r="E237" s="15">
        <v>44329</v>
      </c>
      <c r="F237" s="63">
        <v>46756</v>
      </c>
      <c r="G237" s="16">
        <f>((F237-1950)*1.5)+1950+4250</f>
        <v>73409</v>
      </c>
      <c r="H237" s="14" t="s">
        <v>948</v>
      </c>
      <c r="I237" s="14" t="s">
        <v>332</v>
      </c>
      <c r="J237" s="19">
        <v>3152723</v>
      </c>
      <c r="K237" s="15"/>
      <c r="L237" s="4"/>
      <c r="M237" s="11">
        <v>45216</v>
      </c>
      <c r="N237" s="5">
        <f t="shared" ref="N237:N241" si="55">M237-E237</f>
        <v>887</v>
      </c>
      <c r="O237" s="6"/>
      <c r="P237" s="5"/>
      <c r="Q237" s="5"/>
      <c r="R237" s="5"/>
      <c r="S237" s="5"/>
      <c r="T237" s="5"/>
      <c r="U237" s="5"/>
      <c r="V237" s="5"/>
      <c r="W237" s="5"/>
      <c r="X237" s="5"/>
    </row>
    <row r="238" spans="1:26" ht="14.25" customHeight="1" x14ac:dyDescent="0.35">
      <c r="A238" s="76">
        <v>45211</v>
      </c>
      <c r="B238" s="13">
        <v>27165</v>
      </c>
      <c r="C238" s="14" t="s">
        <v>57</v>
      </c>
      <c r="D238" s="13" t="s">
        <v>949</v>
      </c>
      <c r="E238" s="15">
        <v>45205</v>
      </c>
      <c r="F238" s="16">
        <v>79093</v>
      </c>
      <c r="G238" s="16">
        <f t="shared" ref="G238:G240" si="56">((F238-4625)*1.45)+4625+8250</f>
        <v>120853.59999999999</v>
      </c>
      <c r="H238" s="14" t="s">
        <v>950</v>
      </c>
      <c r="I238" s="14" t="s">
        <v>14</v>
      </c>
      <c r="J238" s="19">
        <v>3127736</v>
      </c>
      <c r="K238" s="15"/>
      <c r="L238" s="3"/>
      <c r="M238" s="11">
        <v>45217</v>
      </c>
      <c r="N238" s="5">
        <f t="shared" si="55"/>
        <v>12</v>
      </c>
      <c r="O238" s="5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 x14ac:dyDescent="0.35">
      <c r="A239" s="76">
        <v>45217</v>
      </c>
      <c r="B239" s="13">
        <v>27143</v>
      </c>
      <c r="C239" s="14" t="s">
        <v>57</v>
      </c>
      <c r="D239" s="14" t="s">
        <v>546</v>
      </c>
      <c r="E239" s="15">
        <v>45215</v>
      </c>
      <c r="F239" s="16">
        <v>93375</v>
      </c>
      <c r="G239" s="16">
        <f t="shared" si="56"/>
        <v>141562.5</v>
      </c>
      <c r="H239" s="14" t="s">
        <v>951</v>
      </c>
      <c r="I239" s="14" t="s">
        <v>14</v>
      </c>
      <c r="J239" s="14">
        <v>3004457</v>
      </c>
      <c r="K239" s="15"/>
      <c r="L239" s="3"/>
      <c r="M239" s="11">
        <v>45218</v>
      </c>
      <c r="N239" s="5">
        <f t="shared" si="55"/>
        <v>3</v>
      </c>
      <c r="O239" s="5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 x14ac:dyDescent="0.35">
      <c r="A240" s="76">
        <v>45208</v>
      </c>
      <c r="B240" s="13">
        <v>27117</v>
      </c>
      <c r="C240" s="14" t="s">
        <v>57</v>
      </c>
      <c r="D240" s="14" t="s">
        <v>720</v>
      </c>
      <c r="E240" s="15">
        <v>45196</v>
      </c>
      <c r="F240" s="16">
        <v>78883</v>
      </c>
      <c r="G240" s="16">
        <f t="shared" si="56"/>
        <v>120549.09999999999</v>
      </c>
      <c r="H240" s="14" t="s">
        <v>952</v>
      </c>
      <c r="I240" s="14" t="s">
        <v>14</v>
      </c>
      <c r="J240" s="14">
        <v>3116117</v>
      </c>
      <c r="K240" s="15"/>
      <c r="L240" s="3" t="s">
        <v>953</v>
      </c>
      <c r="M240" s="11">
        <v>45209</v>
      </c>
      <c r="N240" s="5">
        <f t="shared" si="55"/>
        <v>13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 x14ac:dyDescent="0.35">
      <c r="A241" s="76">
        <v>45209</v>
      </c>
      <c r="B241" s="13">
        <v>20968</v>
      </c>
      <c r="C241" s="14" t="s">
        <v>11</v>
      </c>
      <c r="D241" s="13" t="s">
        <v>17</v>
      </c>
      <c r="E241" s="15">
        <v>45170</v>
      </c>
      <c r="F241" s="16">
        <v>36829</v>
      </c>
      <c r="G241" s="16">
        <f>((F241-1320)*1.5)+1320+4250</f>
        <v>58833.5</v>
      </c>
      <c r="H241" s="14" t="s">
        <v>954</v>
      </c>
      <c r="I241" s="14" t="s">
        <v>31</v>
      </c>
      <c r="J241" s="14">
        <v>3120325</v>
      </c>
      <c r="K241" s="15"/>
      <c r="L241" s="3"/>
      <c r="M241" s="11">
        <v>45210</v>
      </c>
      <c r="N241" s="5">
        <f t="shared" si="55"/>
        <v>40</v>
      </c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 x14ac:dyDescent="0.35">
      <c r="A242" s="76">
        <v>45209</v>
      </c>
      <c r="B242" s="13">
        <v>2369</v>
      </c>
      <c r="C242" s="14" t="s">
        <v>41</v>
      </c>
      <c r="D242" s="14" t="s">
        <v>955</v>
      </c>
      <c r="E242" s="15">
        <v>44708</v>
      </c>
      <c r="F242" s="16">
        <v>62830</v>
      </c>
      <c r="G242" s="46">
        <f>((F242-1614)*1.5)+1614+4250</f>
        <v>97688</v>
      </c>
      <c r="H242" s="14" t="s">
        <v>956</v>
      </c>
      <c r="I242" s="14" t="s">
        <v>14</v>
      </c>
      <c r="J242" s="19" t="s">
        <v>300</v>
      </c>
      <c r="K242" s="47"/>
      <c r="L242" s="5" t="s">
        <v>957</v>
      </c>
      <c r="M242" s="6">
        <v>55290</v>
      </c>
      <c r="N242" s="22">
        <f>F242-M242</f>
        <v>7540</v>
      </c>
      <c r="O242" s="5"/>
    </row>
    <row r="243" spans="1:26" ht="14.25" customHeight="1" x14ac:dyDescent="0.35">
      <c r="A243" s="56"/>
      <c r="B243" s="38"/>
      <c r="C243" s="38"/>
      <c r="D243" s="38"/>
      <c r="E243" s="38"/>
      <c r="F243" s="55"/>
      <c r="G243" s="55"/>
      <c r="H243" s="38"/>
      <c r="I243" s="38"/>
      <c r="J243" s="38"/>
      <c r="K243" s="38"/>
      <c r="L243" s="10"/>
      <c r="M243" s="11"/>
      <c r="N243" s="5"/>
      <c r="O243" s="5"/>
    </row>
    <row r="244" spans="1:26" ht="14.25" customHeight="1" x14ac:dyDescent="0.35">
      <c r="A244" s="56"/>
      <c r="B244" s="38"/>
      <c r="C244" s="38"/>
      <c r="D244" s="38"/>
      <c r="E244" s="38"/>
      <c r="F244" s="55"/>
      <c r="G244" s="55"/>
      <c r="H244" s="38"/>
      <c r="I244" s="38"/>
      <c r="J244" s="38"/>
      <c r="K244" s="38"/>
      <c r="L244" s="10"/>
      <c r="M244" s="11"/>
      <c r="N244" s="5"/>
      <c r="O244" s="5"/>
    </row>
    <row r="245" spans="1:26" ht="14.25" customHeight="1" x14ac:dyDescent="0.35">
      <c r="A245" s="56"/>
      <c r="B245" s="38"/>
      <c r="C245" s="38"/>
      <c r="D245" s="38"/>
      <c r="E245" s="38"/>
      <c r="F245" s="55"/>
      <c r="G245" s="55"/>
      <c r="H245" s="38"/>
      <c r="I245" s="38"/>
      <c r="J245" s="38"/>
      <c r="K245" s="38"/>
      <c r="L245" s="10"/>
      <c r="M245" s="11"/>
      <c r="N245" s="5"/>
      <c r="O245" s="5"/>
    </row>
    <row r="246" spans="1:26" ht="14.25" customHeight="1" x14ac:dyDescent="0.35">
      <c r="A246" s="56"/>
      <c r="B246" s="38"/>
      <c r="C246" s="38"/>
      <c r="D246" s="38"/>
      <c r="E246" s="38"/>
      <c r="F246" s="55"/>
      <c r="G246" s="55"/>
      <c r="H246" s="38"/>
      <c r="I246" s="38"/>
      <c r="J246" s="38"/>
      <c r="K246" s="38"/>
      <c r="L246" s="10"/>
      <c r="M246" s="11"/>
      <c r="N246" s="5"/>
      <c r="O246" s="5"/>
    </row>
    <row r="247" spans="1:26" ht="14.25" customHeight="1" x14ac:dyDescent="0.35">
      <c r="A247" s="56"/>
      <c r="B247" s="38"/>
      <c r="C247" s="38"/>
      <c r="D247" s="38"/>
      <c r="E247" s="38"/>
      <c r="F247" s="55"/>
      <c r="G247" s="55"/>
      <c r="H247" s="38"/>
      <c r="I247" s="38"/>
      <c r="J247" s="38"/>
      <c r="K247" s="38"/>
      <c r="L247" s="10"/>
      <c r="M247" s="11"/>
      <c r="N247" s="5"/>
      <c r="O247" s="5"/>
    </row>
    <row r="248" spans="1:26" ht="14.25" customHeight="1" x14ac:dyDescent="0.35">
      <c r="A248" s="56"/>
      <c r="B248" s="38"/>
      <c r="C248" s="38"/>
      <c r="D248" s="38"/>
      <c r="E248" s="38"/>
      <c r="F248" s="55"/>
      <c r="G248" s="55"/>
      <c r="H248" s="38"/>
      <c r="I248" s="38"/>
      <c r="J248" s="38"/>
      <c r="K248" s="38"/>
      <c r="L248" s="10"/>
      <c r="M248" s="11"/>
      <c r="N248" s="5"/>
      <c r="O248" s="5"/>
    </row>
    <row r="249" spans="1:26" ht="14.25" customHeight="1" x14ac:dyDescent="0.35">
      <c r="A249" s="56"/>
      <c r="C249" s="5"/>
      <c r="H249" s="5"/>
      <c r="I249" s="5"/>
      <c r="J249" s="2"/>
      <c r="K249" s="2"/>
      <c r="L249" s="4"/>
      <c r="M249" s="5"/>
      <c r="N249" s="5"/>
      <c r="O249" s="5"/>
    </row>
    <row r="250" spans="1:26" ht="14.25" customHeight="1" x14ac:dyDescent="0.35">
      <c r="A250" s="56"/>
      <c r="C250" s="5"/>
      <c r="H250" s="5"/>
      <c r="I250" s="5"/>
      <c r="J250" s="2"/>
      <c r="K250" s="2"/>
      <c r="L250" s="4"/>
      <c r="M250" s="5"/>
      <c r="N250" s="5"/>
      <c r="O250" s="5"/>
    </row>
    <row r="251" spans="1:26" ht="14.25" customHeight="1" x14ac:dyDescent="0.35">
      <c r="A251" s="56"/>
      <c r="C251" s="5"/>
      <c r="H251" s="5"/>
      <c r="I251" s="5"/>
      <c r="J251" s="2"/>
      <c r="K251" s="2"/>
      <c r="L251" s="4"/>
      <c r="M251" s="5"/>
      <c r="N251" s="5"/>
      <c r="O251" s="5"/>
    </row>
    <row r="252" spans="1:26" ht="14.25" customHeight="1" x14ac:dyDescent="0.35">
      <c r="A252" s="56"/>
      <c r="C252" s="5"/>
      <c r="H252" s="5"/>
      <c r="I252" s="5"/>
      <c r="J252" s="2"/>
      <c r="K252" s="2"/>
      <c r="L252" s="4"/>
      <c r="M252" s="5"/>
      <c r="N252" s="5"/>
      <c r="O252" s="5"/>
    </row>
    <row r="253" spans="1:26" ht="14.25" customHeight="1" x14ac:dyDescent="0.35">
      <c r="A253" s="56"/>
      <c r="C253" s="5"/>
      <c r="H253" s="5"/>
      <c r="I253" s="5"/>
      <c r="J253" s="2"/>
      <c r="K253" s="2"/>
      <c r="L253" s="4"/>
      <c r="M253" s="5"/>
      <c r="N253" s="5"/>
      <c r="O253" s="5"/>
    </row>
    <row r="254" spans="1:26" ht="14.25" customHeight="1" x14ac:dyDescent="0.35">
      <c r="A254" s="56"/>
      <c r="C254" s="5"/>
      <c r="H254" s="5"/>
      <c r="I254" s="5"/>
      <c r="J254" s="2"/>
      <c r="K254" s="2"/>
      <c r="L254" s="4"/>
      <c r="M254" s="5"/>
      <c r="N254" s="5"/>
      <c r="O254" s="5"/>
    </row>
    <row r="255" spans="1:26" ht="14.25" customHeight="1" x14ac:dyDescent="0.35">
      <c r="A255" s="56"/>
      <c r="C255" s="5"/>
      <c r="H255" s="5"/>
      <c r="I255" s="5"/>
      <c r="J255" s="2"/>
      <c r="K255" s="2"/>
      <c r="L255" s="4"/>
      <c r="M255" s="5"/>
      <c r="N255" s="5"/>
      <c r="O255" s="5"/>
    </row>
    <row r="256" spans="1:26" ht="14.25" customHeight="1" x14ac:dyDescent="0.35">
      <c r="A256" s="56"/>
      <c r="C256" s="5"/>
      <c r="H256" s="5"/>
      <c r="I256" s="5"/>
      <c r="J256" s="2"/>
      <c r="K256" s="2"/>
      <c r="L256" s="4"/>
      <c r="M256" s="5"/>
      <c r="N256" s="5"/>
      <c r="O256" s="5"/>
    </row>
    <row r="257" spans="1:15" ht="14.25" customHeight="1" x14ac:dyDescent="0.35">
      <c r="A257" s="56"/>
      <c r="C257" s="5"/>
      <c r="H257" s="5"/>
      <c r="I257" s="5"/>
      <c r="J257" s="2"/>
      <c r="K257" s="2"/>
      <c r="L257" s="4"/>
      <c r="M257" s="5"/>
      <c r="N257" s="5"/>
      <c r="O257" s="5"/>
    </row>
    <row r="258" spans="1:15" ht="14.25" customHeight="1" x14ac:dyDescent="0.35">
      <c r="A258" s="56"/>
      <c r="C258" s="5"/>
      <c r="H258" s="5"/>
      <c r="I258" s="5"/>
      <c r="J258" s="2"/>
      <c r="K258" s="2"/>
      <c r="L258" s="4"/>
      <c r="M258" s="5"/>
      <c r="N258" s="5"/>
      <c r="O258" s="5"/>
    </row>
    <row r="259" spans="1:15" ht="14.25" customHeight="1" x14ac:dyDescent="0.35">
      <c r="A259" s="56"/>
      <c r="C259" s="5"/>
      <c r="H259" s="5"/>
      <c r="I259" s="5"/>
      <c r="J259" s="2"/>
      <c r="K259" s="2"/>
      <c r="L259" s="4"/>
      <c r="M259" s="5"/>
      <c r="N259" s="5"/>
      <c r="O259" s="5"/>
    </row>
    <row r="260" spans="1:15" ht="14.25" customHeight="1" x14ac:dyDescent="0.35">
      <c r="A260" s="56"/>
      <c r="C260" s="5"/>
      <c r="H260" s="5"/>
      <c r="I260" s="5"/>
      <c r="J260" s="2"/>
      <c r="K260" s="2"/>
      <c r="L260" s="4"/>
      <c r="M260" s="5"/>
      <c r="N260" s="5"/>
      <c r="O260" s="5"/>
    </row>
    <row r="261" spans="1:15" ht="14.25" customHeight="1" x14ac:dyDescent="0.35">
      <c r="A261" s="56"/>
      <c r="C261" s="5"/>
      <c r="H261" s="5"/>
      <c r="I261" s="5"/>
      <c r="J261" s="2"/>
      <c r="K261" s="2"/>
      <c r="L261" s="4"/>
      <c r="M261" s="5"/>
      <c r="N261" s="5"/>
      <c r="O261" s="5"/>
    </row>
    <row r="262" spans="1:15" ht="14.25" customHeight="1" x14ac:dyDescent="0.35">
      <c r="A262" s="56"/>
      <c r="C262" s="5"/>
      <c r="H262" s="5"/>
      <c r="I262" s="5"/>
      <c r="J262" s="2"/>
      <c r="K262" s="2"/>
      <c r="L262" s="4"/>
      <c r="M262" s="5"/>
      <c r="N262" s="5"/>
      <c r="O262" s="5"/>
    </row>
    <row r="263" spans="1:15" ht="14.25" customHeight="1" x14ac:dyDescent="0.35">
      <c r="A263" s="56"/>
      <c r="C263" s="5"/>
      <c r="H263" s="5"/>
      <c r="I263" s="5"/>
      <c r="J263" s="2"/>
      <c r="K263" s="2"/>
      <c r="L263" s="4"/>
      <c r="M263" s="5"/>
      <c r="N263" s="5"/>
      <c r="O263" s="5"/>
    </row>
    <row r="264" spans="1:15" ht="14.25" customHeight="1" x14ac:dyDescent="0.35">
      <c r="A264" s="56"/>
      <c r="C264" s="5"/>
      <c r="H264" s="5"/>
      <c r="I264" s="5"/>
      <c r="J264" s="2"/>
      <c r="K264" s="2"/>
      <c r="L264" s="4"/>
      <c r="M264" s="5"/>
      <c r="N264" s="5"/>
      <c r="O264" s="5"/>
    </row>
    <row r="265" spans="1:15" ht="14.25" customHeight="1" x14ac:dyDescent="0.35">
      <c r="A265" s="56"/>
      <c r="C265" s="5"/>
      <c r="H265" s="5"/>
      <c r="I265" s="5"/>
      <c r="J265" s="2"/>
      <c r="K265" s="2"/>
      <c r="L265" s="4"/>
      <c r="M265" s="5"/>
      <c r="N265" s="5"/>
      <c r="O265" s="5"/>
    </row>
    <row r="266" spans="1:15" ht="14.25" customHeight="1" x14ac:dyDescent="0.35">
      <c r="A266" s="56"/>
      <c r="C266" s="5"/>
      <c r="H266" s="5"/>
      <c r="I266" s="5"/>
      <c r="J266" s="2"/>
      <c r="K266" s="2"/>
      <c r="L266" s="4"/>
      <c r="M266" s="5"/>
      <c r="N266" s="5"/>
      <c r="O266" s="5"/>
    </row>
    <row r="267" spans="1:15" ht="14.25" customHeight="1" x14ac:dyDescent="0.35">
      <c r="A267" s="56"/>
      <c r="C267" s="5"/>
      <c r="H267" s="5"/>
      <c r="I267" s="5"/>
      <c r="J267" s="2"/>
      <c r="K267" s="2"/>
      <c r="L267" s="4"/>
      <c r="M267" s="5"/>
      <c r="N267" s="5"/>
      <c r="O267" s="5"/>
    </row>
    <row r="268" spans="1:15" ht="14.25" customHeight="1" x14ac:dyDescent="0.35">
      <c r="A268" s="56"/>
      <c r="C268" s="5"/>
      <c r="H268" s="5"/>
      <c r="I268" s="5"/>
      <c r="J268" s="2"/>
      <c r="K268" s="2"/>
      <c r="L268" s="4"/>
      <c r="M268" s="5"/>
      <c r="N268" s="5"/>
      <c r="O268" s="5"/>
    </row>
    <row r="269" spans="1:15" ht="14.25" customHeight="1" x14ac:dyDescent="0.35">
      <c r="A269" s="56"/>
      <c r="C269" s="5"/>
      <c r="H269" s="5"/>
      <c r="I269" s="5"/>
      <c r="J269" s="2"/>
      <c r="K269" s="2"/>
      <c r="L269" s="4"/>
      <c r="M269" s="5"/>
      <c r="N269" s="5"/>
      <c r="O269" s="5"/>
    </row>
    <row r="270" spans="1:15" ht="14.25" customHeight="1" x14ac:dyDescent="0.35">
      <c r="A270" s="56"/>
      <c r="C270" s="5"/>
      <c r="H270" s="5"/>
      <c r="I270" s="5"/>
      <c r="J270" s="2"/>
      <c r="K270" s="2"/>
      <c r="L270" s="4"/>
      <c r="M270" s="5"/>
      <c r="N270" s="5"/>
      <c r="O270" s="5"/>
    </row>
    <row r="271" spans="1:15" ht="14.25" customHeight="1" x14ac:dyDescent="0.35">
      <c r="A271" s="56"/>
      <c r="C271" s="5"/>
      <c r="H271" s="5"/>
      <c r="I271" s="5"/>
      <c r="J271" s="2"/>
      <c r="K271" s="2"/>
      <c r="L271" s="4"/>
      <c r="M271" s="5"/>
      <c r="N271" s="5"/>
      <c r="O271" s="5"/>
    </row>
    <row r="272" spans="1:15" ht="14.25" customHeight="1" x14ac:dyDescent="0.35">
      <c r="A272" s="56"/>
      <c r="C272" s="5"/>
      <c r="H272" s="5"/>
      <c r="I272" s="5"/>
      <c r="J272" s="2"/>
      <c r="K272" s="2"/>
      <c r="L272" s="4"/>
      <c r="M272" s="5"/>
      <c r="N272" s="5"/>
      <c r="O272" s="5"/>
    </row>
    <row r="273" spans="1:15" ht="14.25" customHeight="1" x14ac:dyDescent="0.35">
      <c r="A273" s="56"/>
      <c r="C273" s="5"/>
      <c r="H273" s="5"/>
      <c r="I273" s="5"/>
      <c r="J273" s="2"/>
      <c r="K273" s="2"/>
      <c r="L273" s="4"/>
      <c r="M273" s="5"/>
      <c r="N273" s="5"/>
      <c r="O273" s="5"/>
    </row>
    <row r="274" spans="1:15" ht="14.25" customHeight="1" x14ac:dyDescent="0.35">
      <c r="A274" s="56"/>
      <c r="C274" s="5"/>
      <c r="H274" s="5"/>
      <c r="I274" s="5"/>
      <c r="J274" s="2"/>
      <c r="K274" s="2"/>
      <c r="L274" s="4"/>
      <c r="M274" s="5"/>
      <c r="N274" s="5"/>
      <c r="O274" s="5"/>
    </row>
    <row r="275" spans="1:15" ht="14.25" customHeight="1" x14ac:dyDescent="0.35">
      <c r="A275" s="56"/>
      <c r="C275" s="5"/>
      <c r="H275" s="5"/>
      <c r="I275" s="5"/>
      <c r="J275" s="2"/>
      <c r="K275" s="2"/>
      <c r="L275" s="4"/>
      <c r="M275" s="5"/>
      <c r="N275" s="5"/>
      <c r="O275" s="5"/>
    </row>
    <row r="276" spans="1:15" ht="14.25" customHeight="1" x14ac:dyDescent="0.35">
      <c r="A276" s="56"/>
      <c r="C276" s="5"/>
      <c r="H276" s="5"/>
      <c r="I276" s="5"/>
      <c r="J276" s="2"/>
      <c r="K276" s="2"/>
      <c r="L276" s="4"/>
      <c r="M276" s="5"/>
      <c r="N276" s="5"/>
      <c r="O276" s="5"/>
    </row>
    <row r="277" spans="1:15" ht="14.25" customHeight="1" x14ac:dyDescent="0.35">
      <c r="A277" s="56"/>
      <c r="C277" s="5"/>
      <c r="H277" s="5"/>
      <c r="I277" s="5"/>
      <c r="J277" s="2"/>
      <c r="K277" s="2"/>
      <c r="L277" s="4"/>
      <c r="M277" s="5"/>
      <c r="N277" s="5"/>
      <c r="O277" s="5"/>
    </row>
    <row r="278" spans="1:15" ht="14.25" customHeight="1" x14ac:dyDescent="0.35">
      <c r="A278" s="56"/>
      <c r="C278" s="5"/>
      <c r="H278" s="5"/>
      <c r="I278" s="5"/>
      <c r="J278" s="2"/>
      <c r="K278" s="2"/>
      <c r="L278" s="4"/>
      <c r="M278" s="5"/>
      <c r="N278" s="5"/>
      <c r="O278" s="5"/>
    </row>
    <row r="279" spans="1:15" ht="14.25" customHeight="1" x14ac:dyDescent="0.35">
      <c r="A279" s="56"/>
      <c r="C279" s="5"/>
      <c r="H279" s="5"/>
      <c r="I279" s="5"/>
      <c r="J279" s="2"/>
      <c r="K279" s="2"/>
      <c r="L279" s="4"/>
      <c r="M279" s="5"/>
      <c r="N279" s="5"/>
      <c r="O279" s="5"/>
    </row>
    <row r="280" spans="1:15" ht="14.25" customHeight="1" x14ac:dyDescent="0.35">
      <c r="A280" s="56"/>
      <c r="C280" s="5"/>
      <c r="H280" s="5"/>
      <c r="I280" s="5"/>
      <c r="J280" s="2"/>
      <c r="K280" s="2"/>
      <c r="L280" s="4"/>
      <c r="M280" s="5"/>
      <c r="N280" s="5"/>
      <c r="O280" s="5"/>
    </row>
    <row r="281" spans="1:15" ht="14.25" customHeight="1" x14ac:dyDescent="0.35">
      <c r="A281" s="56"/>
      <c r="C281" s="5"/>
      <c r="H281" s="5"/>
      <c r="I281" s="5"/>
      <c r="J281" s="2"/>
      <c r="K281" s="2"/>
      <c r="L281" s="4"/>
      <c r="M281" s="5"/>
      <c r="N281" s="5"/>
      <c r="O281" s="5"/>
    </row>
    <row r="282" spans="1:15" ht="14.25" customHeight="1" x14ac:dyDescent="0.35">
      <c r="A282" s="56"/>
      <c r="C282" s="5"/>
      <c r="H282" s="5"/>
      <c r="I282" s="5"/>
      <c r="J282" s="2"/>
      <c r="K282" s="2"/>
      <c r="L282" s="4"/>
      <c r="M282" s="5"/>
      <c r="N282" s="5"/>
      <c r="O282" s="5"/>
    </row>
    <row r="283" spans="1:15" ht="14.25" customHeight="1" x14ac:dyDescent="0.35">
      <c r="A283" s="56"/>
      <c r="C283" s="5"/>
      <c r="H283" s="5"/>
      <c r="I283" s="5"/>
      <c r="J283" s="2"/>
      <c r="K283" s="2"/>
      <c r="L283" s="4"/>
      <c r="M283" s="5"/>
      <c r="N283" s="5"/>
      <c r="O283" s="5"/>
    </row>
    <row r="284" spans="1:15" ht="14.25" customHeight="1" x14ac:dyDescent="0.35">
      <c r="A284" s="56"/>
      <c r="C284" s="5"/>
      <c r="H284" s="5"/>
      <c r="I284" s="5"/>
      <c r="J284" s="2"/>
      <c r="K284" s="2"/>
      <c r="L284" s="4"/>
      <c r="M284" s="5"/>
      <c r="N284" s="5"/>
      <c r="O284" s="5"/>
    </row>
    <row r="285" spans="1:15" ht="14.25" customHeight="1" x14ac:dyDescent="0.35">
      <c r="A285" s="56"/>
      <c r="C285" s="5"/>
      <c r="H285" s="5"/>
      <c r="I285" s="5"/>
      <c r="J285" s="2"/>
      <c r="K285" s="2"/>
      <c r="L285" s="4"/>
      <c r="M285" s="5"/>
      <c r="N285" s="5"/>
      <c r="O285" s="5"/>
    </row>
    <row r="286" spans="1:15" ht="14.25" customHeight="1" x14ac:dyDescent="0.35">
      <c r="A286" s="56"/>
      <c r="C286" s="5"/>
      <c r="H286" s="5"/>
      <c r="I286" s="5"/>
      <c r="J286" s="2"/>
      <c r="K286" s="2"/>
      <c r="L286" s="4"/>
      <c r="M286" s="5"/>
      <c r="N286" s="5"/>
      <c r="O286" s="5"/>
    </row>
    <row r="287" spans="1:15" ht="14.25" customHeight="1" x14ac:dyDescent="0.35">
      <c r="A287" s="56"/>
      <c r="C287" s="5"/>
      <c r="H287" s="5"/>
      <c r="I287" s="5"/>
      <c r="J287" s="2"/>
      <c r="K287" s="2"/>
      <c r="L287" s="4"/>
      <c r="M287" s="5"/>
      <c r="N287" s="5"/>
      <c r="O287" s="5"/>
    </row>
    <row r="288" spans="1:15" ht="14.25" customHeight="1" x14ac:dyDescent="0.35">
      <c r="A288" s="56"/>
      <c r="C288" s="5"/>
      <c r="H288" s="5"/>
      <c r="I288" s="5"/>
      <c r="J288" s="2"/>
      <c r="K288" s="2"/>
      <c r="L288" s="4"/>
      <c r="M288" s="5"/>
      <c r="N288" s="5"/>
      <c r="O288" s="5"/>
    </row>
    <row r="289" spans="1:15" ht="14.25" customHeight="1" x14ac:dyDescent="0.35">
      <c r="A289" s="56"/>
      <c r="C289" s="5"/>
      <c r="H289" s="5"/>
      <c r="I289" s="5"/>
      <c r="J289" s="2"/>
      <c r="K289" s="2"/>
      <c r="L289" s="4"/>
      <c r="M289" s="5"/>
      <c r="N289" s="5"/>
      <c r="O289" s="5"/>
    </row>
    <row r="290" spans="1:15" ht="14.25" customHeight="1" x14ac:dyDescent="0.35">
      <c r="A290" s="56"/>
      <c r="C290" s="5"/>
      <c r="H290" s="5"/>
      <c r="I290" s="5"/>
      <c r="J290" s="2"/>
      <c r="K290" s="2"/>
      <c r="L290" s="4"/>
      <c r="M290" s="5"/>
      <c r="N290" s="5"/>
      <c r="O290" s="5"/>
    </row>
    <row r="291" spans="1:15" ht="14.25" customHeight="1" x14ac:dyDescent="0.35">
      <c r="A291" s="56"/>
      <c r="C291" s="5"/>
      <c r="H291" s="5"/>
      <c r="I291" s="5"/>
      <c r="J291" s="2"/>
      <c r="K291" s="2"/>
      <c r="L291" s="4"/>
      <c r="M291" s="5"/>
      <c r="N291" s="5"/>
      <c r="O291" s="5"/>
    </row>
    <row r="292" spans="1:15" ht="14.25" customHeight="1" x14ac:dyDescent="0.35">
      <c r="A292" s="56"/>
      <c r="C292" s="5"/>
      <c r="H292" s="5"/>
      <c r="I292" s="5"/>
      <c r="J292" s="2"/>
      <c r="K292" s="2"/>
      <c r="L292" s="4"/>
      <c r="M292" s="5"/>
      <c r="N292" s="5"/>
      <c r="O292" s="5"/>
    </row>
    <row r="293" spans="1:15" ht="14.25" customHeight="1" x14ac:dyDescent="0.35">
      <c r="A293" s="56"/>
      <c r="C293" s="5"/>
      <c r="H293" s="5"/>
      <c r="I293" s="5"/>
      <c r="J293" s="2"/>
      <c r="K293" s="2"/>
      <c r="L293" s="4"/>
      <c r="M293" s="5"/>
      <c r="N293" s="5"/>
      <c r="O293" s="5"/>
    </row>
    <row r="294" spans="1:15" ht="14.25" customHeight="1" x14ac:dyDescent="0.35">
      <c r="A294" s="56"/>
      <c r="C294" s="5"/>
      <c r="H294" s="5"/>
      <c r="I294" s="5"/>
      <c r="J294" s="2"/>
      <c r="K294" s="2"/>
      <c r="L294" s="4"/>
      <c r="M294" s="5"/>
      <c r="N294" s="5"/>
      <c r="O294" s="5"/>
    </row>
    <row r="295" spans="1:15" ht="14.25" customHeight="1" x14ac:dyDescent="0.35">
      <c r="A295" s="56"/>
      <c r="C295" s="5"/>
      <c r="H295" s="5"/>
      <c r="I295" s="5"/>
      <c r="J295" s="2"/>
      <c r="K295" s="2"/>
      <c r="L295" s="4"/>
      <c r="M295" s="5"/>
      <c r="N295" s="5"/>
      <c r="O295" s="5"/>
    </row>
    <row r="296" spans="1:15" ht="14.25" customHeight="1" x14ac:dyDescent="0.35">
      <c r="A296" s="56"/>
      <c r="C296" s="5"/>
      <c r="H296" s="5"/>
      <c r="I296" s="5"/>
      <c r="J296" s="2"/>
      <c r="K296" s="2"/>
      <c r="L296" s="4"/>
      <c r="M296" s="5"/>
      <c r="N296" s="5"/>
      <c r="O296" s="5"/>
    </row>
    <row r="297" spans="1:15" ht="14.25" customHeight="1" x14ac:dyDescent="0.35">
      <c r="A297" s="56"/>
      <c r="C297" s="5"/>
      <c r="H297" s="5"/>
      <c r="I297" s="5"/>
      <c r="J297" s="2"/>
      <c r="K297" s="2"/>
      <c r="L297" s="4"/>
      <c r="M297" s="5"/>
      <c r="N297" s="5"/>
      <c r="O297" s="5"/>
    </row>
    <row r="298" spans="1:15" ht="14.25" customHeight="1" x14ac:dyDescent="0.35">
      <c r="A298" s="56"/>
      <c r="C298" s="5"/>
      <c r="H298" s="5"/>
      <c r="I298" s="5"/>
      <c r="J298" s="2"/>
      <c r="K298" s="2"/>
      <c r="L298" s="4"/>
      <c r="M298" s="5"/>
      <c r="N298" s="5"/>
      <c r="O298" s="5"/>
    </row>
    <row r="299" spans="1:15" ht="14.25" customHeight="1" x14ac:dyDescent="0.35">
      <c r="A299" s="56"/>
      <c r="C299" s="5"/>
      <c r="H299" s="5"/>
      <c r="I299" s="5"/>
      <c r="J299" s="2"/>
      <c r="K299" s="2"/>
      <c r="L299" s="4"/>
      <c r="M299" s="5"/>
      <c r="N299" s="5"/>
      <c r="O299" s="5"/>
    </row>
    <row r="300" spans="1:15" ht="14.25" customHeight="1" x14ac:dyDescent="0.35">
      <c r="A300" s="56"/>
      <c r="C300" s="5"/>
      <c r="H300" s="5"/>
      <c r="I300" s="5"/>
      <c r="J300" s="2"/>
      <c r="K300" s="2"/>
      <c r="L300" s="4"/>
      <c r="M300" s="5"/>
      <c r="N300" s="5"/>
      <c r="O300" s="5"/>
    </row>
    <row r="301" spans="1:15" ht="14.25" customHeight="1" x14ac:dyDescent="0.35">
      <c r="A301" s="56"/>
      <c r="C301" s="5"/>
      <c r="H301" s="5"/>
      <c r="I301" s="5"/>
      <c r="J301" s="2"/>
      <c r="K301" s="2"/>
      <c r="L301" s="4"/>
      <c r="M301" s="5"/>
      <c r="N301" s="5"/>
      <c r="O301" s="5"/>
    </row>
    <row r="302" spans="1:15" ht="14.25" customHeight="1" x14ac:dyDescent="0.35">
      <c r="A302" s="56"/>
      <c r="C302" s="5"/>
      <c r="H302" s="5"/>
      <c r="I302" s="5"/>
      <c r="J302" s="2"/>
      <c r="K302" s="2"/>
      <c r="L302" s="4"/>
      <c r="M302" s="5"/>
      <c r="N302" s="5"/>
      <c r="O302" s="5"/>
    </row>
    <row r="303" spans="1:15" ht="14.25" customHeight="1" x14ac:dyDescent="0.35">
      <c r="A303" s="56"/>
      <c r="C303" s="5"/>
      <c r="H303" s="5"/>
      <c r="I303" s="5"/>
      <c r="J303" s="2"/>
      <c r="K303" s="2"/>
      <c r="L303" s="4"/>
      <c r="M303" s="5"/>
      <c r="N303" s="5"/>
      <c r="O303" s="5"/>
    </row>
    <row r="304" spans="1:15" ht="14.25" customHeight="1" x14ac:dyDescent="0.35">
      <c r="A304" s="56"/>
      <c r="C304" s="5"/>
      <c r="H304" s="5"/>
      <c r="I304" s="5"/>
      <c r="J304" s="2"/>
      <c r="K304" s="2"/>
      <c r="L304" s="4"/>
      <c r="M304" s="5"/>
      <c r="N304" s="5"/>
      <c r="O304" s="5"/>
    </row>
    <row r="305" spans="1:15" ht="14.25" customHeight="1" x14ac:dyDescent="0.35">
      <c r="A305" s="56"/>
      <c r="C305" s="5"/>
      <c r="H305" s="5"/>
      <c r="I305" s="5"/>
      <c r="J305" s="2"/>
      <c r="K305" s="2"/>
      <c r="L305" s="4"/>
      <c r="M305" s="5"/>
      <c r="N305" s="5"/>
      <c r="O305" s="5"/>
    </row>
    <row r="306" spans="1:15" ht="14.25" customHeight="1" x14ac:dyDescent="0.35">
      <c r="A306" s="56"/>
      <c r="C306" s="5"/>
      <c r="H306" s="5"/>
      <c r="I306" s="5"/>
      <c r="J306" s="2"/>
      <c r="K306" s="2"/>
      <c r="L306" s="4"/>
      <c r="M306" s="5"/>
      <c r="N306" s="5"/>
      <c r="O306" s="5"/>
    </row>
    <row r="307" spans="1:15" ht="14.25" customHeight="1" x14ac:dyDescent="0.35">
      <c r="A307" s="56"/>
      <c r="C307" s="5"/>
      <c r="H307" s="5"/>
      <c r="I307" s="5"/>
      <c r="J307" s="2"/>
      <c r="K307" s="2"/>
      <c r="L307" s="4"/>
      <c r="M307" s="5"/>
      <c r="N307" s="5"/>
      <c r="O307" s="5"/>
    </row>
    <row r="308" spans="1:15" ht="14.25" customHeight="1" x14ac:dyDescent="0.35">
      <c r="A308" s="56"/>
      <c r="C308" s="5"/>
      <c r="H308" s="5"/>
      <c r="I308" s="5"/>
      <c r="J308" s="2"/>
      <c r="K308" s="2"/>
      <c r="L308" s="4"/>
      <c r="M308" s="5"/>
      <c r="N308" s="5"/>
      <c r="O308" s="5"/>
    </row>
    <row r="309" spans="1:15" ht="14.25" customHeight="1" x14ac:dyDescent="0.35">
      <c r="A309" s="56"/>
      <c r="C309" s="5"/>
      <c r="H309" s="5"/>
      <c r="I309" s="5"/>
      <c r="J309" s="2"/>
      <c r="K309" s="2"/>
      <c r="L309" s="4"/>
      <c r="M309" s="5"/>
      <c r="N309" s="5"/>
      <c r="O309" s="5"/>
    </row>
    <row r="310" spans="1:15" ht="14.25" customHeight="1" x14ac:dyDescent="0.35">
      <c r="A310" s="56"/>
      <c r="C310" s="5"/>
      <c r="H310" s="5"/>
      <c r="I310" s="5"/>
      <c r="J310" s="2"/>
      <c r="K310" s="2"/>
      <c r="L310" s="4"/>
      <c r="M310" s="5"/>
      <c r="N310" s="5"/>
      <c r="O310" s="5"/>
    </row>
    <row r="311" spans="1:15" ht="14.25" customHeight="1" x14ac:dyDescent="0.35">
      <c r="A311" s="56"/>
      <c r="C311" s="5"/>
      <c r="H311" s="5"/>
      <c r="I311" s="5"/>
      <c r="J311" s="2"/>
      <c r="K311" s="2"/>
      <c r="L311" s="4"/>
      <c r="M311" s="5"/>
      <c r="N311" s="5"/>
      <c r="O311" s="5"/>
    </row>
    <row r="312" spans="1:15" ht="14.25" customHeight="1" x14ac:dyDescent="0.35">
      <c r="A312" s="56"/>
      <c r="C312" s="5"/>
      <c r="H312" s="5"/>
      <c r="I312" s="5"/>
      <c r="J312" s="2"/>
      <c r="K312" s="2"/>
      <c r="L312" s="4"/>
      <c r="M312" s="5"/>
      <c r="N312" s="5"/>
      <c r="O312" s="5"/>
    </row>
    <row r="313" spans="1:15" ht="14.25" customHeight="1" x14ac:dyDescent="0.35">
      <c r="A313" s="56"/>
      <c r="C313" s="5"/>
      <c r="H313" s="5"/>
      <c r="I313" s="5"/>
      <c r="J313" s="2"/>
      <c r="K313" s="2"/>
      <c r="L313" s="4"/>
      <c r="M313" s="5"/>
      <c r="N313" s="5"/>
      <c r="O313" s="5"/>
    </row>
    <row r="314" spans="1:15" ht="14.25" customHeight="1" x14ac:dyDescent="0.35">
      <c r="A314" s="56"/>
      <c r="C314" s="5"/>
      <c r="H314" s="5"/>
      <c r="I314" s="5"/>
      <c r="J314" s="2"/>
      <c r="K314" s="2"/>
      <c r="L314" s="4"/>
      <c r="M314" s="5"/>
      <c r="N314" s="5"/>
      <c r="O314" s="5"/>
    </row>
    <row r="315" spans="1:15" ht="14.25" customHeight="1" x14ac:dyDescent="0.35">
      <c r="A315" s="56"/>
      <c r="C315" s="5"/>
      <c r="H315" s="5"/>
      <c r="I315" s="5"/>
      <c r="J315" s="2"/>
      <c r="K315" s="2"/>
      <c r="L315" s="4"/>
      <c r="M315" s="5"/>
      <c r="N315" s="5"/>
      <c r="O315" s="5"/>
    </row>
    <row r="316" spans="1:15" ht="14.25" customHeight="1" x14ac:dyDescent="0.35">
      <c r="A316" s="56"/>
      <c r="C316" s="5"/>
      <c r="H316" s="5"/>
      <c r="I316" s="5"/>
      <c r="J316" s="2"/>
      <c r="K316" s="2"/>
      <c r="L316" s="4"/>
      <c r="M316" s="5"/>
      <c r="N316" s="5"/>
      <c r="O316" s="5"/>
    </row>
    <row r="317" spans="1:15" ht="14.25" customHeight="1" x14ac:dyDescent="0.35">
      <c r="A317" s="56"/>
      <c r="C317" s="5"/>
      <c r="H317" s="5"/>
      <c r="I317" s="5"/>
      <c r="J317" s="2"/>
      <c r="K317" s="2"/>
      <c r="L317" s="4"/>
      <c r="M317" s="5"/>
      <c r="N317" s="5"/>
      <c r="O317" s="5"/>
    </row>
    <row r="318" spans="1:15" ht="14.25" customHeight="1" x14ac:dyDescent="0.35">
      <c r="A318" s="56"/>
      <c r="C318" s="5"/>
      <c r="H318" s="5"/>
      <c r="I318" s="5"/>
      <c r="J318" s="2"/>
      <c r="K318" s="2"/>
      <c r="L318" s="4"/>
      <c r="M318" s="5"/>
      <c r="N318" s="5"/>
      <c r="O318" s="5"/>
    </row>
    <row r="319" spans="1:15" ht="14.25" customHeight="1" x14ac:dyDescent="0.35">
      <c r="A319" s="56"/>
      <c r="C319" s="5"/>
      <c r="H319" s="5"/>
      <c r="I319" s="5"/>
      <c r="J319" s="2"/>
      <c r="K319" s="2"/>
      <c r="L319" s="4"/>
      <c r="M319" s="5"/>
      <c r="N319" s="5"/>
      <c r="O319" s="5"/>
    </row>
    <row r="320" spans="1:15" ht="14.25" customHeight="1" x14ac:dyDescent="0.35">
      <c r="A320" s="56"/>
      <c r="C320" s="5"/>
      <c r="H320" s="5"/>
      <c r="I320" s="5"/>
      <c r="J320" s="2"/>
      <c r="K320" s="2"/>
      <c r="L320" s="4"/>
      <c r="M320" s="5"/>
      <c r="N320" s="5"/>
      <c r="O320" s="5"/>
    </row>
    <row r="321" spans="1:15" ht="14.25" customHeight="1" x14ac:dyDescent="0.35">
      <c r="A321" s="56"/>
      <c r="C321" s="5"/>
      <c r="H321" s="5"/>
      <c r="I321" s="5"/>
      <c r="J321" s="2"/>
      <c r="K321" s="2"/>
      <c r="L321" s="4"/>
      <c r="M321" s="5"/>
      <c r="N321" s="5"/>
      <c r="O321" s="5"/>
    </row>
    <row r="322" spans="1:15" ht="14.25" customHeight="1" x14ac:dyDescent="0.35">
      <c r="A322" s="56"/>
      <c r="C322" s="5"/>
      <c r="H322" s="5"/>
      <c r="I322" s="5"/>
      <c r="J322" s="2"/>
      <c r="K322" s="2"/>
      <c r="L322" s="4"/>
      <c r="M322" s="5"/>
      <c r="N322" s="5"/>
      <c r="O322" s="5"/>
    </row>
    <row r="323" spans="1:15" ht="14.25" customHeight="1" x14ac:dyDescent="0.35">
      <c r="A323" s="56"/>
      <c r="C323" s="5"/>
      <c r="H323" s="5"/>
      <c r="I323" s="5"/>
      <c r="J323" s="2"/>
      <c r="K323" s="2"/>
      <c r="L323" s="4"/>
      <c r="M323" s="5"/>
      <c r="N323" s="5"/>
      <c r="O323" s="5"/>
    </row>
    <row r="324" spans="1:15" ht="14.25" customHeight="1" x14ac:dyDescent="0.35">
      <c r="A324" s="56"/>
      <c r="C324" s="5"/>
      <c r="H324" s="5"/>
      <c r="I324" s="5"/>
      <c r="J324" s="2"/>
      <c r="K324" s="2"/>
      <c r="L324" s="4"/>
      <c r="M324" s="5"/>
      <c r="N324" s="5"/>
      <c r="O324" s="5"/>
    </row>
    <row r="325" spans="1:15" ht="14.25" customHeight="1" x14ac:dyDescent="0.35">
      <c r="A325" s="56"/>
      <c r="C325" s="5"/>
      <c r="H325" s="5"/>
      <c r="I325" s="5"/>
      <c r="J325" s="2"/>
      <c r="K325" s="2"/>
      <c r="L325" s="4"/>
      <c r="M325" s="5"/>
      <c r="N325" s="5"/>
      <c r="O325" s="5"/>
    </row>
    <row r="326" spans="1:15" ht="14.25" customHeight="1" x14ac:dyDescent="0.35">
      <c r="A326" s="56"/>
      <c r="C326" s="5"/>
      <c r="H326" s="5"/>
      <c r="I326" s="5"/>
      <c r="J326" s="2"/>
      <c r="K326" s="2"/>
      <c r="L326" s="4"/>
      <c r="M326" s="5"/>
      <c r="N326" s="5"/>
      <c r="O326" s="5"/>
    </row>
    <row r="327" spans="1:15" ht="14.25" customHeight="1" x14ac:dyDescent="0.35">
      <c r="A327" s="56"/>
      <c r="C327" s="5"/>
      <c r="H327" s="5"/>
      <c r="I327" s="5"/>
      <c r="J327" s="2"/>
      <c r="K327" s="2"/>
      <c r="L327" s="4"/>
      <c r="M327" s="5"/>
      <c r="N327" s="5"/>
      <c r="O327" s="5"/>
    </row>
    <row r="328" spans="1:15" ht="14.25" customHeight="1" x14ac:dyDescent="0.35">
      <c r="A328" s="56"/>
      <c r="C328" s="5"/>
      <c r="H328" s="5"/>
      <c r="I328" s="5"/>
      <c r="J328" s="2"/>
      <c r="K328" s="2"/>
      <c r="L328" s="4"/>
      <c r="M328" s="5"/>
      <c r="N328" s="5"/>
      <c r="O328" s="5"/>
    </row>
    <row r="329" spans="1:15" ht="14.25" customHeight="1" x14ac:dyDescent="0.35">
      <c r="A329" s="56"/>
      <c r="C329" s="5"/>
      <c r="H329" s="5"/>
      <c r="I329" s="5"/>
      <c r="J329" s="2"/>
      <c r="K329" s="2"/>
      <c r="L329" s="4"/>
      <c r="M329" s="5"/>
      <c r="N329" s="5"/>
      <c r="O329" s="5"/>
    </row>
    <row r="330" spans="1:15" ht="14.25" customHeight="1" x14ac:dyDescent="0.35">
      <c r="A330" s="56"/>
      <c r="C330" s="5"/>
      <c r="H330" s="5"/>
      <c r="I330" s="5"/>
      <c r="J330" s="2"/>
      <c r="K330" s="2"/>
      <c r="L330" s="4"/>
      <c r="M330" s="5"/>
      <c r="N330" s="5"/>
      <c r="O330" s="5"/>
    </row>
    <row r="331" spans="1:15" ht="14.25" customHeight="1" x14ac:dyDescent="0.35">
      <c r="A331" s="56"/>
      <c r="C331" s="5"/>
      <c r="H331" s="5"/>
      <c r="I331" s="5"/>
      <c r="J331" s="2"/>
      <c r="K331" s="2"/>
      <c r="L331" s="4"/>
      <c r="M331" s="5"/>
      <c r="N331" s="5"/>
      <c r="O331" s="5"/>
    </row>
    <row r="332" spans="1:15" ht="14.25" customHeight="1" x14ac:dyDescent="0.35">
      <c r="A332" s="56"/>
      <c r="C332" s="5"/>
      <c r="H332" s="5"/>
      <c r="I332" s="5"/>
      <c r="J332" s="2"/>
      <c r="K332" s="2"/>
      <c r="L332" s="4"/>
      <c r="M332" s="5"/>
      <c r="N332" s="5"/>
      <c r="O332" s="5"/>
    </row>
    <row r="333" spans="1:15" ht="14.25" customHeight="1" x14ac:dyDescent="0.35">
      <c r="A333" s="56"/>
      <c r="C333" s="5"/>
      <c r="H333" s="5"/>
      <c r="I333" s="5"/>
      <c r="J333" s="2"/>
      <c r="K333" s="2"/>
      <c r="L333" s="4"/>
      <c r="M333" s="5"/>
      <c r="N333" s="5"/>
      <c r="O333" s="5"/>
    </row>
    <row r="334" spans="1:15" ht="14.25" customHeight="1" x14ac:dyDescent="0.35">
      <c r="A334" s="56"/>
      <c r="C334" s="5"/>
      <c r="H334" s="5"/>
      <c r="I334" s="5"/>
      <c r="J334" s="2"/>
      <c r="K334" s="2"/>
      <c r="L334" s="4"/>
      <c r="M334" s="5"/>
      <c r="N334" s="5"/>
      <c r="O334" s="5"/>
    </row>
    <row r="335" spans="1:15" ht="14.25" customHeight="1" x14ac:dyDescent="0.35">
      <c r="A335" s="56"/>
      <c r="C335" s="5"/>
      <c r="H335" s="5"/>
      <c r="I335" s="5"/>
      <c r="J335" s="2"/>
      <c r="K335" s="2"/>
      <c r="L335" s="4"/>
      <c r="M335" s="5"/>
      <c r="N335" s="5"/>
      <c r="O335" s="5"/>
    </row>
    <row r="336" spans="1:15" ht="14.25" customHeight="1" x14ac:dyDescent="0.35">
      <c r="A336" s="56"/>
      <c r="C336" s="5"/>
      <c r="H336" s="5"/>
      <c r="I336" s="5"/>
      <c r="J336" s="2"/>
      <c r="K336" s="2"/>
      <c r="L336" s="4"/>
      <c r="M336" s="5"/>
      <c r="N336" s="5"/>
      <c r="O336" s="5"/>
    </row>
    <row r="337" spans="1:15" ht="14.25" customHeight="1" x14ac:dyDescent="0.35">
      <c r="A337" s="56"/>
      <c r="C337" s="5"/>
      <c r="H337" s="5"/>
      <c r="I337" s="5"/>
      <c r="J337" s="2"/>
      <c r="K337" s="2"/>
      <c r="L337" s="4"/>
      <c r="M337" s="5"/>
      <c r="N337" s="5"/>
      <c r="O337" s="5"/>
    </row>
    <row r="338" spans="1:15" ht="14.25" customHeight="1" x14ac:dyDescent="0.35">
      <c r="A338" s="56"/>
      <c r="C338" s="5"/>
      <c r="H338" s="5"/>
      <c r="I338" s="5"/>
      <c r="J338" s="2"/>
      <c r="K338" s="2"/>
      <c r="L338" s="4"/>
      <c r="M338" s="5"/>
      <c r="N338" s="5"/>
      <c r="O338" s="5"/>
    </row>
    <row r="339" spans="1:15" ht="14.25" customHeight="1" x14ac:dyDescent="0.35">
      <c r="A339" s="56"/>
      <c r="C339" s="5"/>
      <c r="H339" s="5"/>
      <c r="I339" s="5"/>
      <c r="J339" s="2"/>
      <c r="K339" s="2"/>
      <c r="L339" s="4"/>
      <c r="M339" s="5"/>
      <c r="N339" s="5"/>
      <c r="O339" s="5"/>
    </row>
    <row r="340" spans="1:15" ht="14.25" customHeight="1" x14ac:dyDescent="0.35">
      <c r="A340" s="56"/>
      <c r="C340" s="5"/>
      <c r="H340" s="5"/>
      <c r="I340" s="5"/>
      <c r="J340" s="2"/>
      <c r="K340" s="2"/>
      <c r="L340" s="4"/>
      <c r="M340" s="5"/>
      <c r="N340" s="5"/>
      <c r="O340" s="5"/>
    </row>
    <row r="341" spans="1:15" ht="14.25" customHeight="1" x14ac:dyDescent="0.35">
      <c r="A341" s="56"/>
      <c r="C341" s="5"/>
      <c r="H341" s="5"/>
      <c r="I341" s="5"/>
      <c r="J341" s="2"/>
      <c r="K341" s="2"/>
      <c r="L341" s="4"/>
      <c r="M341" s="5"/>
      <c r="N341" s="5"/>
      <c r="O341" s="5"/>
    </row>
    <row r="342" spans="1:15" ht="14.25" customHeight="1" x14ac:dyDescent="0.35">
      <c r="A342" s="56"/>
      <c r="C342" s="5"/>
      <c r="H342" s="5"/>
      <c r="I342" s="5"/>
      <c r="J342" s="2"/>
      <c r="K342" s="2"/>
      <c r="L342" s="4"/>
      <c r="M342" s="5"/>
      <c r="N342" s="5"/>
      <c r="O342" s="5"/>
    </row>
    <row r="343" spans="1:15" ht="14.25" customHeight="1" x14ac:dyDescent="0.35">
      <c r="A343" s="56"/>
      <c r="C343" s="5"/>
      <c r="H343" s="5"/>
      <c r="I343" s="5"/>
      <c r="J343" s="2"/>
      <c r="K343" s="2"/>
      <c r="L343" s="4"/>
      <c r="M343" s="5"/>
      <c r="N343" s="5"/>
      <c r="O343" s="5"/>
    </row>
    <row r="344" spans="1:15" ht="14.25" customHeight="1" x14ac:dyDescent="0.35">
      <c r="A344" s="56"/>
      <c r="C344" s="5"/>
      <c r="H344" s="5"/>
      <c r="I344" s="5"/>
      <c r="J344" s="2"/>
      <c r="K344" s="2"/>
      <c r="L344" s="4"/>
      <c r="M344" s="5"/>
      <c r="N344" s="5"/>
      <c r="O344" s="5"/>
    </row>
    <row r="345" spans="1:15" ht="14.25" customHeight="1" x14ac:dyDescent="0.35">
      <c r="A345" s="56"/>
      <c r="C345" s="5"/>
      <c r="H345" s="5"/>
      <c r="I345" s="5"/>
      <c r="J345" s="2"/>
      <c r="K345" s="2"/>
      <c r="L345" s="4"/>
      <c r="M345" s="5"/>
      <c r="N345" s="5"/>
      <c r="O345" s="5"/>
    </row>
    <row r="346" spans="1:15" ht="14.25" customHeight="1" x14ac:dyDescent="0.35">
      <c r="A346" s="56"/>
      <c r="C346" s="5"/>
      <c r="H346" s="5"/>
      <c r="I346" s="5"/>
      <c r="J346" s="2"/>
      <c r="K346" s="2"/>
      <c r="L346" s="4"/>
      <c r="M346" s="5"/>
      <c r="N346" s="5"/>
      <c r="O346" s="5"/>
    </row>
    <row r="347" spans="1:15" ht="14.25" customHeight="1" x14ac:dyDescent="0.35">
      <c r="A347" s="56"/>
      <c r="C347" s="5"/>
      <c r="H347" s="5"/>
      <c r="I347" s="5"/>
      <c r="J347" s="2"/>
      <c r="K347" s="2"/>
      <c r="L347" s="4"/>
      <c r="M347" s="5"/>
      <c r="N347" s="5"/>
      <c r="O347" s="5"/>
    </row>
    <row r="348" spans="1:15" ht="14.25" customHeight="1" x14ac:dyDescent="0.35">
      <c r="A348" s="56"/>
      <c r="C348" s="5"/>
      <c r="H348" s="5"/>
      <c r="I348" s="5"/>
      <c r="J348" s="2"/>
      <c r="K348" s="2"/>
      <c r="L348" s="4"/>
      <c r="M348" s="5"/>
      <c r="N348" s="5"/>
      <c r="O348" s="5"/>
    </row>
    <row r="349" spans="1:15" ht="14.25" customHeight="1" x14ac:dyDescent="0.35">
      <c r="A349" s="56"/>
      <c r="C349" s="5"/>
      <c r="H349" s="5"/>
      <c r="I349" s="5"/>
      <c r="J349" s="2"/>
      <c r="K349" s="2"/>
      <c r="L349" s="4"/>
      <c r="M349" s="5"/>
      <c r="N349" s="5"/>
      <c r="O349" s="5"/>
    </row>
    <row r="350" spans="1:15" ht="14.25" customHeight="1" x14ac:dyDescent="0.35">
      <c r="A350" s="56"/>
      <c r="C350" s="5"/>
      <c r="H350" s="5"/>
      <c r="I350" s="5"/>
      <c r="J350" s="2"/>
      <c r="K350" s="2"/>
      <c r="L350" s="4"/>
      <c r="M350" s="5"/>
      <c r="N350" s="5"/>
      <c r="O350" s="5"/>
    </row>
    <row r="351" spans="1:15" ht="14.25" customHeight="1" x14ac:dyDescent="0.35">
      <c r="A351" s="56"/>
      <c r="C351" s="5"/>
      <c r="H351" s="5"/>
      <c r="I351" s="5"/>
      <c r="J351" s="2"/>
      <c r="K351" s="2"/>
      <c r="L351" s="4"/>
      <c r="M351" s="5"/>
      <c r="N351" s="5"/>
      <c r="O351" s="5"/>
    </row>
    <row r="352" spans="1:15" ht="14.25" customHeight="1" x14ac:dyDescent="0.35">
      <c r="A352" s="56"/>
      <c r="C352" s="5"/>
      <c r="H352" s="5"/>
      <c r="I352" s="5"/>
      <c r="J352" s="2"/>
      <c r="K352" s="2"/>
      <c r="L352" s="4"/>
      <c r="M352" s="5"/>
      <c r="N352" s="5"/>
      <c r="O352" s="5"/>
    </row>
    <row r="353" spans="1:15" ht="14.25" customHeight="1" x14ac:dyDescent="0.35">
      <c r="A353" s="56"/>
      <c r="C353" s="5"/>
      <c r="H353" s="5"/>
      <c r="I353" s="5"/>
      <c r="J353" s="2"/>
      <c r="K353" s="2"/>
      <c r="L353" s="4"/>
      <c r="M353" s="5"/>
      <c r="N353" s="5"/>
      <c r="O353" s="5"/>
    </row>
    <row r="354" spans="1:15" ht="14.25" customHeight="1" x14ac:dyDescent="0.35">
      <c r="A354" s="56"/>
      <c r="C354" s="5"/>
      <c r="H354" s="5"/>
      <c r="I354" s="5"/>
      <c r="J354" s="2"/>
      <c r="K354" s="2"/>
      <c r="L354" s="4"/>
      <c r="M354" s="5"/>
      <c r="N354" s="5"/>
      <c r="O354" s="5"/>
    </row>
    <row r="355" spans="1:15" ht="14.25" customHeight="1" x14ac:dyDescent="0.35">
      <c r="A355" s="56"/>
      <c r="C355" s="5"/>
      <c r="H355" s="5"/>
      <c r="I355" s="5"/>
      <c r="J355" s="2"/>
      <c r="K355" s="2"/>
      <c r="L355" s="4"/>
      <c r="M355" s="5"/>
      <c r="N355" s="5"/>
      <c r="O355" s="5"/>
    </row>
    <row r="356" spans="1:15" ht="14.25" customHeight="1" x14ac:dyDescent="0.35">
      <c r="A356" s="56"/>
      <c r="C356" s="5"/>
      <c r="H356" s="5"/>
      <c r="I356" s="5"/>
      <c r="J356" s="2"/>
      <c r="K356" s="2"/>
      <c r="L356" s="4"/>
      <c r="M356" s="5"/>
      <c r="N356" s="5"/>
      <c r="O356" s="5"/>
    </row>
    <row r="357" spans="1:15" ht="14.25" customHeight="1" x14ac:dyDescent="0.35">
      <c r="A357" s="56"/>
      <c r="C357" s="5"/>
      <c r="H357" s="5"/>
      <c r="I357" s="5"/>
      <c r="J357" s="2"/>
      <c r="K357" s="2"/>
      <c r="L357" s="4"/>
      <c r="M357" s="5"/>
      <c r="N357" s="5"/>
      <c r="O357" s="5"/>
    </row>
    <row r="358" spans="1:15" ht="14.25" customHeight="1" x14ac:dyDescent="0.35">
      <c r="A358" s="56"/>
      <c r="C358" s="5"/>
      <c r="H358" s="5"/>
      <c r="I358" s="5"/>
      <c r="J358" s="2"/>
      <c r="K358" s="2"/>
      <c r="L358" s="4"/>
      <c r="M358" s="5"/>
      <c r="N358" s="5"/>
      <c r="O358" s="5"/>
    </row>
    <row r="359" spans="1:15" ht="14.25" customHeight="1" x14ac:dyDescent="0.35">
      <c r="A359" s="56"/>
      <c r="C359" s="5"/>
      <c r="H359" s="5"/>
      <c r="I359" s="5"/>
      <c r="J359" s="2"/>
      <c r="K359" s="2"/>
      <c r="L359" s="4"/>
      <c r="M359" s="5"/>
      <c r="N359" s="5"/>
      <c r="O359" s="5"/>
    </row>
    <row r="360" spans="1:15" ht="14.25" customHeight="1" x14ac:dyDescent="0.35">
      <c r="A360" s="56"/>
      <c r="C360" s="5"/>
      <c r="H360" s="5"/>
      <c r="I360" s="5"/>
      <c r="J360" s="2"/>
      <c r="K360" s="2"/>
      <c r="L360" s="4"/>
      <c r="M360" s="5"/>
      <c r="N360" s="5"/>
      <c r="O360" s="5"/>
    </row>
    <row r="361" spans="1:15" ht="14.25" customHeight="1" x14ac:dyDescent="0.35">
      <c r="A361" s="56"/>
      <c r="C361" s="5"/>
      <c r="H361" s="5"/>
      <c r="I361" s="5"/>
      <c r="J361" s="2"/>
      <c r="K361" s="2"/>
      <c r="L361" s="4"/>
      <c r="M361" s="5"/>
      <c r="N361" s="5"/>
      <c r="O361" s="5"/>
    </row>
    <row r="362" spans="1:15" ht="14.25" customHeight="1" x14ac:dyDescent="0.35">
      <c r="A362" s="56"/>
      <c r="C362" s="5"/>
      <c r="H362" s="5"/>
      <c r="I362" s="5"/>
      <c r="J362" s="2"/>
      <c r="K362" s="2"/>
      <c r="L362" s="4"/>
      <c r="M362" s="5"/>
      <c r="N362" s="5"/>
      <c r="O362" s="5"/>
    </row>
    <row r="363" spans="1:15" ht="14.25" customHeight="1" x14ac:dyDescent="0.35">
      <c r="A363" s="56"/>
      <c r="C363" s="5"/>
      <c r="H363" s="5"/>
      <c r="I363" s="5"/>
      <c r="J363" s="2"/>
      <c r="K363" s="2"/>
      <c r="L363" s="4"/>
      <c r="M363" s="5"/>
      <c r="N363" s="5"/>
      <c r="O363" s="5"/>
    </row>
    <row r="364" spans="1:15" ht="14.25" customHeight="1" x14ac:dyDescent="0.35">
      <c r="A364" s="56"/>
      <c r="C364" s="5"/>
      <c r="H364" s="5"/>
      <c r="I364" s="5"/>
      <c r="J364" s="2"/>
      <c r="K364" s="2"/>
      <c r="L364" s="4"/>
      <c r="M364" s="5"/>
      <c r="N364" s="5"/>
      <c r="O364" s="5"/>
    </row>
    <row r="365" spans="1:15" ht="14.25" customHeight="1" x14ac:dyDescent="0.35">
      <c r="A365" s="56"/>
      <c r="C365" s="5"/>
      <c r="H365" s="5"/>
      <c r="I365" s="5"/>
      <c r="J365" s="2"/>
      <c r="K365" s="2"/>
      <c r="L365" s="4"/>
      <c r="M365" s="5"/>
      <c r="N365" s="5"/>
      <c r="O365" s="5"/>
    </row>
    <row r="366" spans="1:15" ht="14.25" customHeight="1" x14ac:dyDescent="0.35">
      <c r="A366" s="56"/>
      <c r="C366" s="5"/>
      <c r="H366" s="5"/>
      <c r="I366" s="5"/>
      <c r="J366" s="2"/>
      <c r="K366" s="2"/>
      <c r="L366" s="4"/>
      <c r="M366" s="5"/>
      <c r="N366" s="5"/>
      <c r="O366" s="5"/>
    </row>
    <row r="367" spans="1:15" ht="14.25" customHeight="1" x14ac:dyDescent="0.35">
      <c r="A367" s="56"/>
      <c r="C367" s="5"/>
      <c r="H367" s="5"/>
      <c r="I367" s="5"/>
      <c r="J367" s="2"/>
      <c r="K367" s="2"/>
      <c r="L367" s="4"/>
      <c r="M367" s="5"/>
      <c r="N367" s="5"/>
      <c r="O367" s="5"/>
    </row>
    <row r="368" spans="1:15" ht="14.25" customHeight="1" x14ac:dyDescent="0.35">
      <c r="A368" s="56"/>
      <c r="C368" s="5"/>
      <c r="H368" s="5"/>
      <c r="I368" s="5"/>
      <c r="J368" s="2"/>
      <c r="K368" s="2"/>
      <c r="L368" s="4"/>
      <c r="M368" s="5"/>
      <c r="N368" s="5"/>
      <c r="O368" s="5"/>
    </row>
    <row r="369" spans="1:15" ht="14.25" customHeight="1" x14ac:dyDescent="0.35">
      <c r="A369" s="56"/>
      <c r="C369" s="5"/>
      <c r="H369" s="5"/>
      <c r="I369" s="5"/>
      <c r="J369" s="2"/>
      <c r="K369" s="2"/>
      <c r="L369" s="4"/>
      <c r="M369" s="5"/>
      <c r="N369" s="5"/>
      <c r="O369" s="5"/>
    </row>
    <row r="370" spans="1:15" ht="14.25" customHeight="1" x14ac:dyDescent="0.35">
      <c r="A370" s="56"/>
      <c r="C370" s="5"/>
      <c r="H370" s="5"/>
      <c r="I370" s="5"/>
      <c r="J370" s="2"/>
      <c r="K370" s="2"/>
      <c r="L370" s="4"/>
      <c r="M370" s="5"/>
      <c r="N370" s="5"/>
      <c r="O370" s="5"/>
    </row>
    <row r="371" spans="1:15" ht="14.25" customHeight="1" x14ac:dyDescent="0.35">
      <c r="A371" s="56"/>
      <c r="C371" s="5"/>
      <c r="H371" s="5"/>
      <c r="I371" s="5"/>
      <c r="J371" s="2"/>
      <c r="K371" s="2"/>
      <c r="L371" s="4"/>
      <c r="M371" s="5"/>
      <c r="N371" s="5"/>
      <c r="O371" s="5"/>
    </row>
    <row r="372" spans="1:15" ht="14.25" customHeight="1" x14ac:dyDescent="0.35">
      <c r="A372" s="56"/>
      <c r="C372" s="5"/>
      <c r="H372" s="5"/>
      <c r="I372" s="5"/>
      <c r="J372" s="2"/>
      <c r="K372" s="2"/>
      <c r="L372" s="4"/>
      <c r="M372" s="5"/>
      <c r="N372" s="5"/>
      <c r="O372" s="5"/>
    </row>
    <row r="373" spans="1:15" ht="14.25" customHeight="1" x14ac:dyDescent="0.35">
      <c r="A373" s="56"/>
      <c r="C373" s="5"/>
      <c r="H373" s="5"/>
      <c r="I373" s="5"/>
      <c r="J373" s="2"/>
      <c r="K373" s="2"/>
      <c r="L373" s="4"/>
      <c r="M373" s="5"/>
      <c r="N373" s="5"/>
      <c r="O373" s="5"/>
    </row>
    <row r="374" spans="1:15" ht="14.25" customHeight="1" x14ac:dyDescent="0.35">
      <c r="A374" s="56"/>
      <c r="C374" s="5"/>
      <c r="H374" s="5"/>
      <c r="I374" s="5"/>
      <c r="J374" s="2"/>
      <c r="K374" s="2"/>
      <c r="L374" s="4"/>
      <c r="M374" s="5"/>
      <c r="N374" s="5"/>
      <c r="O374" s="5"/>
    </row>
    <row r="375" spans="1:15" ht="14.25" customHeight="1" x14ac:dyDescent="0.35">
      <c r="A375" s="56"/>
      <c r="C375" s="5"/>
      <c r="H375" s="5"/>
      <c r="I375" s="5"/>
      <c r="J375" s="2"/>
      <c r="K375" s="2"/>
      <c r="L375" s="4"/>
      <c r="M375" s="5"/>
      <c r="N375" s="5"/>
      <c r="O375" s="5"/>
    </row>
    <row r="376" spans="1:15" ht="14.25" customHeight="1" x14ac:dyDescent="0.35">
      <c r="A376" s="56"/>
      <c r="C376" s="5"/>
      <c r="H376" s="5"/>
      <c r="I376" s="5"/>
      <c r="J376" s="2"/>
      <c r="K376" s="2"/>
      <c r="L376" s="4"/>
      <c r="M376" s="5"/>
      <c r="N376" s="5"/>
      <c r="O376" s="5"/>
    </row>
    <row r="377" spans="1:15" ht="14.25" customHeight="1" x14ac:dyDescent="0.35">
      <c r="A377" s="56"/>
      <c r="C377" s="5"/>
      <c r="H377" s="5"/>
      <c r="I377" s="5"/>
      <c r="J377" s="2"/>
      <c r="K377" s="2"/>
      <c r="L377" s="4"/>
      <c r="M377" s="5"/>
      <c r="N377" s="5"/>
      <c r="O377" s="5"/>
    </row>
    <row r="378" spans="1:15" ht="14.25" customHeight="1" x14ac:dyDescent="0.35">
      <c r="A378" s="56"/>
      <c r="C378" s="5"/>
      <c r="H378" s="5"/>
      <c r="I378" s="5"/>
      <c r="J378" s="2"/>
      <c r="K378" s="2"/>
      <c r="L378" s="4"/>
      <c r="M378" s="5"/>
      <c r="N378" s="5"/>
      <c r="O378" s="5"/>
    </row>
    <row r="379" spans="1:15" ht="14.25" customHeight="1" x14ac:dyDescent="0.35">
      <c r="A379" s="56"/>
      <c r="C379" s="5"/>
      <c r="H379" s="5"/>
      <c r="I379" s="5"/>
      <c r="J379" s="2"/>
      <c r="K379" s="2"/>
      <c r="L379" s="4"/>
      <c r="M379" s="5"/>
      <c r="N379" s="5"/>
      <c r="O379" s="5"/>
    </row>
    <row r="380" spans="1:15" ht="14.25" customHeight="1" x14ac:dyDescent="0.35">
      <c r="A380" s="56"/>
      <c r="C380" s="5"/>
      <c r="H380" s="5"/>
      <c r="I380" s="5"/>
      <c r="J380" s="2"/>
      <c r="K380" s="2"/>
      <c r="L380" s="4"/>
      <c r="M380" s="5"/>
      <c r="N380" s="5"/>
      <c r="O380" s="5"/>
    </row>
    <row r="381" spans="1:15" ht="14.25" customHeight="1" x14ac:dyDescent="0.35">
      <c r="A381" s="56"/>
      <c r="C381" s="5"/>
      <c r="H381" s="5"/>
      <c r="I381" s="5"/>
      <c r="J381" s="2"/>
      <c r="K381" s="2"/>
      <c r="L381" s="4"/>
      <c r="M381" s="5"/>
      <c r="N381" s="5"/>
      <c r="O381" s="5"/>
    </row>
    <row r="382" spans="1:15" ht="14.25" customHeight="1" x14ac:dyDescent="0.35">
      <c r="A382" s="56"/>
      <c r="C382" s="5"/>
      <c r="H382" s="5"/>
      <c r="I382" s="5"/>
      <c r="J382" s="2"/>
      <c r="K382" s="2"/>
      <c r="L382" s="4"/>
      <c r="M382" s="5"/>
      <c r="N382" s="5"/>
      <c r="O382" s="5"/>
    </row>
    <row r="383" spans="1:15" ht="14.25" customHeight="1" x14ac:dyDescent="0.35">
      <c r="A383" s="56"/>
      <c r="C383" s="5"/>
      <c r="H383" s="5"/>
      <c r="I383" s="5"/>
      <c r="J383" s="2"/>
      <c r="K383" s="2"/>
      <c r="L383" s="4"/>
      <c r="M383" s="5"/>
      <c r="N383" s="5"/>
      <c r="O383" s="5"/>
    </row>
    <row r="384" spans="1:15" ht="14.25" customHeight="1" x14ac:dyDescent="0.35">
      <c r="A384" s="56"/>
      <c r="C384" s="5"/>
      <c r="H384" s="5"/>
      <c r="I384" s="5"/>
      <c r="J384" s="2"/>
      <c r="K384" s="2"/>
      <c r="L384" s="4"/>
      <c r="M384" s="5"/>
      <c r="N384" s="5"/>
      <c r="O384" s="5"/>
    </row>
    <row r="385" spans="1:15" ht="14.25" customHeight="1" x14ac:dyDescent="0.35">
      <c r="A385" s="56"/>
      <c r="C385" s="5"/>
      <c r="H385" s="5"/>
      <c r="I385" s="5"/>
      <c r="J385" s="2"/>
      <c r="K385" s="2"/>
      <c r="L385" s="4"/>
      <c r="M385" s="5"/>
      <c r="N385" s="5"/>
      <c r="O385" s="5"/>
    </row>
    <row r="386" spans="1:15" ht="14.25" customHeight="1" x14ac:dyDescent="0.35">
      <c r="A386" s="56"/>
      <c r="C386" s="5"/>
      <c r="H386" s="5"/>
      <c r="I386" s="5"/>
      <c r="J386" s="2"/>
      <c r="K386" s="2"/>
      <c r="L386" s="4"/>
      <c r="M386" s="5"/>
      <c r="N386" s="5"/>
      <c r="O386" s="5"/>
    </row>
    <row r="387" spans="1:15" ht="14.25" customHeight="1" x14ac:dyDescent="0.35">
      <c r="A387" s="56"/>
      <c r="C387" s="5"/>
      <c r="H387" s="5"/>
      <c r="I387" s="5"/>
      <c r="J387" s="2"/>
      <c r="K387" s="2"/>
      <c r="L387" s="4"/>
      <c r="M387" s="5"/>
      <c r="N387" s="5"/>
      <c r="O387" s="5"/>
    </row>
    <row r="388" spans="1:15" ht="14.25" customHeight="1" x14ac:dyDescent="0.35">
      <c r="A388" s="56"/>
      <c r="C388" s="5"/>
      <c r="H388" s="5"/>
      <c r="I388" s="5"/>
      <c r="J388" s="2"/>
      <c r="K388" s="2"/>
      <c r="L388" s="4"/>
      <c r="M388" s="5"/>
      <c r="N388" s="5"/>
      <c r="O388" s="5"/>
    </row>
    <row r="389" spans="1:15" ht="14.25" customHeight="1" x14ac:dyDescent="0.35">
      <c r="A389" s="56"/>
      <c r="C389" s="5"/>
      <c r="H389" s="5"/>
      <c r="I389" s="5"/>
      <c r="J389" s="2"/>
      <c r="K389" s="2"/>
      <c r="L389" s="4"/>
      <c r="M389" s="5"/>
      <c r="N389" s="5"/>
      <c r="O389" s="5"/>
    </row>
    <row r="390" spans="1:15" ht="14.25" customHeight="1" x14ac:dyDescent="0.35">
      <c r="A390" s="56"/>
      <c r="C390" s="5"/>
      <c r="H390" s="5"/>
      <c r="I390" s="5"/>
      <c r="J390" s="2"/>
      <c r="K390" s="2"/>
      <c r="L390" s="4"/>
      <c r="M390" s="5"/>
      <c r="N390" s="5"/>
      <c r="O390" s="5"/>
    </row>
    <row r="391" spans="1:15" ht="14.25" customHeight="1" x14ac:dyDescent="0.35">
      <c r="A391" s="56"/>
      <c r="C391" s="5"/>
      <c r="H391" s="5"/>
      <c r="I391" s="5"/>
      <c r="J391" s="2"/>
      <c r="K391" s="2"/>
      <c r="L391" s="4"/>
      <c r="M391" s="5"/>
      <c r="N391" s="5"/>
      <c r="O391" s="5"/>
    </row>
    <row r="392" spans="1:15" ht="14.25" customHeight="1" x14ac:dyDescent="0.35">
      <c r="A392" s="56"/>
      <c r="C392" s="5"/>
      <c r="H392" s="5"/>
      <c r="I392" s="5"/>
      <c r="J392" s="2"/>
      <c r="K392" s="2"/>
      <c r="L392" s="4"/>
      <c r="M392" s="5"/>
      <c r="N392" s="5"/>
      <c r="O392" s="5"/>
    </row>
    <row r="393" spans="1:15" ht="14.25" customHeight="1" x14ac:dyDescent="0.35">
      <c r="A393" s="56"/>
      <c r="C393" s="5"/>
      <c r="H393" s="5"/>
      <c r="I393" s="5"/>
      <c r="J393" s="2"/>
      <c r="K393" s="2"/>
      <c r="L393" s="4"/>
      <c r="M393" s="5"/>
      <c r="N393" s="5"/>
      <c r="O393" s="5"/>
    </row>
    <row r="394" spans="1:15" ht="14.25" customHeight="1" x14ac:dyDescent="0.35">
      <c r="A394" s="56"/>
      <c r="C394" s="5"/>
      <c r="H394" s="5"/>
      <c r="I394" s="5"/>
      <c r="J394" s="2"/>
      <c r="K394" s="2"/>
      <c r="L394" s="4"/>
      <c r="M394" s="5"/>
      <c r="N394" s="5"/>
      <c r="O394" s="5"/>
    </row>
    <row r="395" spans="1:15" ht="14.25" customHeight="1" x14ac:dyDescent="0.35">
      <c r="A395" s="56"/>
      <c r="C395" s="5"/>
      <c r="H395" s="5"/>
      <c r="I395" s="5"/>
      <c r="J395" s="2"/>
      <c r="K395" s="2"/>
      <c r="L395" s="4"/>
      <c r="M395" s="5"/>
      <c r="N395" s="5"/>
      <c r="O395" s="5"/>
    </row>
    <row r="396" spans="1:15" ht="14.25" customHeight="1" x14ac:dyDescent="0.35">
      <c r="A396" s="56"/>
      <c r="C396" s="5"/>
      <c r="H396" s="5"/>
      <c r="I396" s="5"/>
      <c r="J396" s="2"/>
      <c r="K396" s="2"/>
      <c r="L396" s="4"/>
      <c r="M396" s="5"/>
      <c r="N396" s="5"/>
      <c r="O396" s="5"/>
    </row>
    <row r="397" spans="1:15" ht="14.25" customHeight="1" x14ac:dyDescent="0.35">
      <c r="A397" s="56"/>
      <c r="C397" s="5"/>
      <c r="H397" s="5"/>
      <c r="I397" s="5"/>
      <c r="J397" s="2"/>
      <c r="K397" s="2"/>
      <c r="L397" s="4"/>
      <c r="M397" s="5"/>
      <c r="N397" s="5"/>
      <c r="O397" s="5"/>
    </row>
    <row r="398" spans="1:15" ht="14.25" customHeight="1" x14ac:dyDescent="0.35">
      <c r="A398" s="56"/>
      <c r="C398" s="5"/>
      <c r="H398" s="5"/>
      <c r="I398" s="5"/>
      <c r="J398" s="2"/>
      <c r="K398" s="2"/>
      <c r="L398" s="4"/>
      <c r="M398" s="5"/>
      <c r="N398" s="5"/>
      <c r="O398" s="5"/>
    </row>
    <row r="399" spans="1:15" ht="14.25" customHeight="1" x14ac:dyDescent="0.35">
      <c r="A399" s="56"/>
      <c r="C399" s="5"/>
      <c r="H399" s="5"/>
      <c r="I399" s="5"/>
      <c r="J399" s="2"/>
      <c r="K399" s="2"/>
      <c r="L399" s="4"/>
      <c r="M399" s="5"/>
      <c r="N399" s="5"/>
      <c r="O399" s="5"/>
    </row>
    <row r="400" spans="1:15" ht="14.25" customHeight="1" x14ac:dyDescent="0.35">
      <c r="A400" s="56"/>
      <c r="C400" s="5"/>
      <c r="H400" s="5"/>
      <c r="I400" s="5"/>
      <c r="J400" s="2"/>
      <c r="K400" s="2"/>
      <c r="L400" s="4"/>
      <c r="M400" s="5"/>
      <c r="N400" s="5"/>
      <c r="O400" s="5"/>
    </row>
    <row r="401" spans="1:15" ht="14.25" customHeight="1" x14ac:dyDescent="0.35">
      <c r="A401" s="56"/>
      <c r="C401" s="5"/>
      <c r="H401" s="5"/>
      <c r="I401" s="5"/>
      <c r="J401" s="2"/>
      <c r="K401" s="2"/>
      <c r="L401" s="4"/>
      <c r="M401" s="5"/>
      <c r="N401" s="5"/>
      <c r="O401" s="5"/>
    </row>
    <row r="402" spans="1:15" ht="14.25" customHeight="1" x14ac:dyDescent="0.35">
      <c r="A402" s="56"/>
      <c r="C402" s="5"/>
      <c r="H402" s="5"/>
      <c r="I402" s="5"/>
      <c r="J402" s="2"/>
      <c r="K402" s="2"/>
      <c r="L402" s="4"/>
      <c r="M402" s="5"/>
      <c r="N402" s="5"/>
      <c r="O402" s="5"/>
    </row>
    <row r="403" spans="1:15" ht="14.25" customHeight="1" x14ac:dyDescent="0.35">
      <c r="A403" s="56"/>
      <c r="C403" s="5"/>
      <c r="H403" s="5"/>
      <c r="I403" s="5"/>
      <c r="J403" s="2"/>
      <c r="K403" s="2"/>
      <c r="L403" s="4"/>
      <c r="M403" s="5"/>
      <c r="N403" s="5"/>
      <c r="O403" s="5"/>
    </row>
    <row r="404" spans="1:15" ht="14.25" customHeight="1" x14ac:dyDescent="0.35">
      <c r="A404" s="56"/>
      <c r="C404" s="5"/>
      <c r="H404" s="5"/>
      <c r="I404" s="5"/>
      <c r="J404" s="2"/>
      <c r="K404" s="2"/>
      <c r="L404" s="4"/>
      <c r="M404" s="5"/>
      <c r="N404" s="5"/>
      <c r="O404" s="5"/>
    </row>
    <row r="405" spans="1:15" ht="14.25" customHeight="1" x14ac:dyDescent="0.35">
      <c r="A405" s="56"/>
      <c r="C405" s="5"/>
      <c r="H405" s="5"/>
      <c r="I405" s="5"/>
      <c r="J405" s="2"/>
      <c r="K405" s="2"/>
      <c r="L405" s="4"/>
      <c r="M405" s="5"/>
      <c r="N405" s="5"/>
      <c r="O405" s="5"/>
    </row>
    <row r="406" spans="1:15" ht="14.25" customHeight="1" x14ac:dyDescent="0.35">
      <c r="A406" s="56"/>
      <c r="C406" s="5"/>
      <c r="H406" s="5"/>
      <c r="I406" s="5"/>
      <c r="J406" s="2"/>
      <c r="K406" s="2"/>
      <c r="L406" s="4"/>
      <c r="M406" s="5"/>
      <c r="N406" s="5"/>
      <c r="O406" s="5"/>
    </row>
    <row r="407" spans="1:15" ht="14.25" customHeight="1" x14ac:dyDescent="0.35">
      <c r="A407" s="56"/>
      <c r="C407" s="5"/>
      <c r="H407" s="5"/>
      <c r="I407" s="5"/>
      <c r="J407" s="2"/>
      <c r="K407" s="2"/>
      <c r="L407" s="4"/>
      <c r="M407" s="5"/>
      <c r="N407" s="5"/>
      <c r="O407" s="5"/>
    </row>
    <row r="408" spans="1:15" ht="14.25" customHeight="1" x14ac:dyDescent="0.35">
      <c r="A408" s="56"/>
      <c r="C408" s="5"/>
      <c r="H408" s="5"/>
      <c r="I408" s="5"/>
      <c r="J408" s="2"/>
      <c r="K408" s="2"/>
      <c r="L408" s="4"/>
      <c r="M408" s="5"/>
      <c r="N408" s="5"/>
      <c r="O408" s="5"/>
    </row>
    <row r="409" spans="1:15" ht="14.25" customHeight="1" x14ac:dyDescent="0.35">
      <c r="A409" s="56"/>
      <c r="C409" s="5"/>
      <c r="H409" s="5"/>
      <c r="I409" s="5"/>
      <c r="J409" s="2"/>
      <c r="K409" s="2"/>
      <c r="L409" s="4"/>
      <c r="M409" s="5"/>
      <c r="N409" s="5"/>
      <c r="O409" s="5"/>
    </row>
    <row r="410" spans="1:15" ht="14.25" customHeight="1" x14ac:dyDescent="0.35">
      <c r="A410" s="56"/>
      <c r="C410" s="5"/>
      <c r="H410" s="5"/>
      <c r="I410" s="5"/>
      <c r="J410" s="2"/>
      <c r="K410" s="2"/>
      <c r="L410" s="4"/>
      <c r="M410" s="5"/>
      <c r="N410" s="5"/>
      <c r="O410" s="5"/>
    </row>
    <row r="411" spans="1:15" ht="14.25" customHeight="1" x14ac:dyDescent="0.35">
      <c r="A411" s="56"/>
      <c r="C411" s="5"/>
      <c r="H411" s="5"/>
      <c r="I411" s="5"/>
      <c r="J411" s="2"/>
      <c r="K411" s="2"/>
      <c r="L411" s="4"/>
      <c r="M411" s="5"/>
      <c r="N411" s="5"/>
      <c r="O411" s="5"/>
    </row>
    <row r="412" spans="1:15" ht="14.25" customHeight="1" x14ac:dyDescent="0.35">
      <c r="A412" s="56"/>
      <c r="C412" s="5"/>
      <c r="H412" s="5"/>
      <c r="I412" s="5"/>
      <c r="J412" s="2"/>
      <c r="K412" s="2"/>
      <c r="L412" s="4"/>
      <c r="M412" s="5"/>
      <c r="N412" s="5"/>
      <c r="O412" s="5"/>
    </row>
    <row r="413" spans="1:15" ht="14.25" customHeight="1" x14ac:dyDescent="0.35">
      <c r="A413" s="56"/>
      <c r="C413" s="5"/>
      <c r="H413" s="5"/>
      <c r="I413" s="5"/>
      <c r="J413" s="2"/>
      <c r="K413" s="2"/>
      <c r="L413" s="4"/>
      <c r="M413" s="5"/>
      <c r="N413" s="5"/>
      <c r="O413" s="5"/>
    </row>
    <row r="414" spans="1:15" ht="14.25" customHeight="1" x14ac:dyDescent="0.35">
      <c r="A414" s="56"/>
      <c r="C414" s="5"/>
      <c r="H414" s="5"/>
      <c r="I414" s="5"/>
      <c r="J414" s="2"/>
      <c r="K414" s="2"/>
      <c r="L414" s="4"/>
      <c r="M414" s="5"/>
      <c r="N414" s="5"/>
      <c r="O414" s="5"/>
    </row>
    <row r="415" spans="1:15" ht="14.25" customHeight="1" x14ac:dyDescent="0.35">
      <c r="A415" s="56"/>
      <c r="C415" s="5"/>
      <c r="H415" s="5"/>
      <c r="I415" s="5"/>
      <c r="J415" s="2"/>
      <c r="K415" s="2"/>
      <c r="L415" s="4"/>
      <c r="M415" s="5"/>
      <c r="N415" s="5"/>
      <c r="O415" s="5"/>
    </row>
    <row r="416" spans="1:15" ht="14.25" customHeight="1" x14ac:dyDescent="0.35">
      <c r="A416" s="56"/>
      <c r="C416" s="5"/>
      <c r="H416" s="5"/>
      <c r="I416" s="5"/>
      <c r="J416" s="2"/>
      <c r="K416" s="2"/>
      <c r="L416" s="4"/>
      <c r="M416" s="5"/>
      <c r="N416" s="5"/>
      <c r="O416" s="5"/>
    </row>
    <row r="417" spans="1:15" ht="14.25" customHeight="1" x14ac:dyDescent="0.35">
      <c r="A417" s="56"/>
      <c r="C417" s="5"/>
      <c r="H417" s="5"/>
      <c r="I417" s="5"/>
      <c r="J417" s="2"/>
      <c r="K417" s="2"/>
      <c r="L417" s="4"/>
      <c r="M417" s="5"/>
      <c r="N417" s="5"/>
      <c r="O417" s="5"/>
    </row>
    <row r="418" spans="1:15" ht="14.25" customHeight="1" x14ac:dyDescent="0.35">
      <c r="A418" s="56"/>
      <c r="C418" s="5"/>
      <c r="H418" s="5"/>
      <c r="I418" s="5"/>
      <c r="J418" s="2"/>
      <c r="K418" s="2"/>
      <c r="L418" s="4"/>
      <c r="M418" s="5"/>
      <c r="N418" s="5"/>
      <c r="O418" s="5"/>
    </row>
    <row r="419" spans="1:15" ht="14.25" customHeight="1" x14ac:dyDescent="0.35">
      <c r="A419" s="56"/>
      <c r="C419" s="5"/>
      <c r="H419" s="5"/>
      <c r="I419" s="5"/>
      <c r="J419" s="2"/>
      <c r="K419" s="2"/>
      <c r="L419" s="4"/>
      <c r="M419" s="5"/>
      <c r="N419" s="5"/>
      <c r="O419" s="5"/>
    </row>
    <row r="420" spans="1:15" ht="14.25" customHeight="1" x14ac:dyDescent="0.35">
      <c r="A420" s="56"/>
      <c r="C420" s="5"/>
      <c r="H420" s="5"/>
      <c r="I420" s="5"/>
      <c r="J420" s="2"/>
      <c r="K420" s="2"/>
      <c r="L420" s="4"/>
      <c r="M420" s="5"/>
      <c r="N420" s="5"/>
      <c r="O420" s="5"/>
    </row>
    <row r="421" spans="1:15" ht="14.25" customHeight="1" x14ac:dyDescent="0.35">
      <c r="A421" s="56"/>
      <c r="C421" s="5"/>
      <c r="H421" s="5"/>
      <c r="I421" s="5"/>
      <c r="J421" s="2"/>
      <c r="K421" s="2"/>
      <c r="L421" s="4"/>
      <c r="M421" s="5"/>
      <c r="N421" s="5"/>
      <c r="O421" s="5"/>
    </row>
    <row r="422" spans="1:15" ht="14.25" customHeight="1" x14ac:dyDescent="0.35">
      <c r="A422" s="56"/>
      <c r="C422" s="5"/>
      <c r="H422" s="5"/>
      <c r="I422" s="5"/>
      <c r="J422" s="2"/>
      <c r="K422" s="2"/>
      <c r="L422" s="4"/>
      <c r="M422" s="5"/>
      <c r="N422" s="5"/>
      <c r="O422" s="5"/>
    </row>
    <row r="423" spans="1:15" ht="14.25" customHeight="1" x14ac:dyDescent="0.35">
      <c r="A423" s="56"/>
      <c r="C423" s="5"/>
      <c r="H423" s="5"/>
      <c r="I423" s="5"/>
      <c r="J423" s="2"/>
      <c r="K423" s="2"/>
      <c r="L423" s="4"/>
      <c r="M423" s="5"/>
      <c r="N423" s="5"/>
      <c r="O423" s="5"/>
    </row>
    <row r="424" spans="1:15" ht="14.25" customHeight="1" x14ac:dyDescent="0.35">
      <c r="A424" s="56"/>
      <c r="C424" s="5"/>
      <c r="H424" s="5"/>
      <c r="I424" s="5"/>
      <c r="J424" s="2"/>
      <c r="K424" s="2"/>
      <c r="L424" s="4"/>
      <c r="M424" s="5"/>
      <c r="N424" s="5"/>
      <c r="O424" s="5"/>
    </row>
    <row r="425" spans="1:15" ht="14.25" customHeight="1" x14ac:dyDescent="0.35">
      <c r="A425" s="56"/>
      <c r="C425" s="5"/>
      <c r="H425" s="5"/>
      <c r="I425" s="5"/>
      <c r="J425" s="2"/>
      <c r="K425" s="2"/>
      <c r="L425" s="4"/>
      <c r="M425" s="5"/>
      <c r="N425" s="5"/>
      <c r="O425" s="5"/>
    </row>
    <row r="426" spans="1:15" ht="14.25" customHeight="1" x14ac:dyDescent="0.35">
      <c r="A426" s="56"/>
      <c r="C426" s="5"/>
      <c r="H426" s="5"/>
      <c r="I426" s="5"/>
      <c r="J426" s="2"/>
      <c r="K426" s="2"/>
      <c r="L426" s="4"/>
      <c r="M426" s="5"/>
      <c r="N426" s="5"/>
      <c r="O426" s="5"/>
    </row>
    <row r="427" spans="1:15" ht="14.25" customHeight="1" x14ac:dyDescent="0.35">
      <c r="A427" s="56"/>
      <c r="C427" s="5"/>
      <c r="H427" s="5"/>
      <c r="I427" s="5"/>
      <c r="J427" s="2"/>
      <c r="K427" s="2"/>
      <c r="L427" s="4"/>
      <c r="M427" s="5"/>
      <c r="N427" s="5"/>
      <c r="O427" s="5"/>
    </row>
    <row r="428" spans="1:15" ht="14.25" customHeight="1" x14ac:dyDescent="0.35">
      <c r="A428" s="56"/>
      <c r="C428" s="5"/>
      <c r="H428" s="5"/>
      <c r="I428" s="5"/>
      <c r="J428" s="2"/>
      <c r="K428" s="2"/>
      <c r="L428" s="4"/>
      <c r="M428" s="5"/>
      <c r="N428" s="5"/>
      <c r="O428" s="5"/>
    </row>
    <row r="429" spans="1:15" ht="14.25" customHeight="1" x14ac:dyDescent="0.35">
      <c r="A429" s="56"/>
      <c r="C429" s="5"/>
      <c r="H429" s="5"/>
      <c r="I429" s="5"/>
      <c r="J429" s="2"/>
      <c r="K429" s="2"/>
      <c r="L429" s="4"/>
      <c r="M429" s="5"/>
      <c r="N429" s="5"/>
      <c r="O429" s="5"/>
    </row>
    <row r="430" spans="1:15" ht="14.25" customHeight="1" x14ac:dyDescent="0.35">
      <c r="A430" s="56"/>
      <c r="C430" s="5"/>
      <c r="H430" s="5"/>
      <c r="I430" s="5"/>
      <c r="J430" s="2"/>
      <c r="K430" s="2"/>
      <c r="L430" s="4"/>
      <c r="M430" s="5"/>
      <c r="N430" s="5"/>
      <c r="O430" s="5"/>
    </row>
    <row r="431" spans="1:15" ht="14.25" customHeight="1" x14ac:dyDescent="0.35">
      <c r="A431" s="56"/>
      <c r="C431" s="5"/>
      <c r="H431" s="5"/>
      <c r="I431" s="5"/>
      <c r="J431" s="2"/>
      <c r="K431" s="2"/>
      <c r="L431" s="4"/>
      <c r="M431" s="5"/>
      <c r="N431" s="5"/>
      <c r="O431" s="5"/>
    </row>
    <row r="432" spans="1:15" ht="14.25" customHeight="1" x14ac:dyDescent="0.35">
      <c r="A432" s="56"/>
      <c r="C432" s="5"/>
      <c r="H432" s="5"/>
      <c r="I432" s="5"/>
      <c r="J432" s="2"/>
      <c r="K432" s="2"/>
      <c r="L432" s="4"/>
      <c r="M432" s="5"/>
      <c r="N432" s="5"/>
      <c r="O432" s="5"/>
    </row>
    <row r="433" spans="1:15" ht="14.25" customHeight="1" x14ac:dyDescent="0.35">
      <c r="A433" s="56"/>
      <c r="C433" s="5"/>
      <c r="H433" s="5"/>
      <c r="I433" s="5"/>
      <c r="J433" s="2"/>
      <c r="K433" s="2"/>
      <c r="L433" s="4"/>
      <c r="M433" s="5"/>
      <c r="N433" s="5"/>
      <c r="O433" s="5"/>
    </row>
    <row r="434" spans="1:15" ht="14.25" customHeight="1" x14ac:dyDescent="0.35">
      <c r="A434" s="56"/>
      <c r="C434" s="5"/>
      <c r="H434" s="5"/>
      <c r="I434" s="5"/>
      <c r="J434" s="2"/>
      <c r="K434" s="2"/>
      <c r="L434" s="4"/>
      <c r="M434" s="5"/>
      <c r="N434" s="5"/>
      <c r="O434" s="5"/>
    </row>
    <row r="435" spans="1:15" ht="14.25" customHeight="1" x14ac:dyDescent="0.35">
      <c r="A435" s="56"/>
      <c r="C435" s="5"/>
      <c r="H435" s="5"/>
      <c r="I435" s="5"/>
      <c r="J435" s="2"/>
      <c r="K435" s="2"/>
      <c r="L435" s="4"/>
      <c r="M435" s="5"/>
      <c r="N435" s="5"/>
      <c r="O435" s="5"/>
    </row>
    <row r="436" spans="1:15" ht="14.25" customHeight="1" x14ac:dyDescent="0.35">
      <c r="A436" s="56"/>
      <c r="C436" s="5"/>
      <c r="H436" s="5"/>
      <c r="I436" s="5"/>
      <c r="J436" s="2"/>
      <c r="K436" s="2"/>
      <c r="L436" s="4"/>
      <c r="M436" s="5"/>
      <c r="N436" s="5"/>
      <c r="O436" s="5"/>
    </row>
    <row r="437" spans="1:15" ht="14.25" customHeight="1" x14ac:dyDescent="0.35">
      <c r="A437" s="56"/>
      <c r="C437" s="5"/>
      <c r="H437" s="5"/>
      <c r="I437" s="5"/>
      <c r="J437" s="2"/>
      <c r="K437" s="2"/>
      <c r="L437" s="4"/>
      <c r="M437" s="5"/>
      <c r="N437" s="5"/>
      <c r="O437" s="5"/>
    </row>
    <row r="438" spans="1:15" ht="14.25" customHeight="1" x14ac:dyDescent="0.35">
      <c r="A438" s="56"/>
      <c r="C438" s="5"/>
      <c r="H438" s="5"/>
      <c r="I438" s="5"/>
      <c r="J438" s="2"/>
      <c r="K438" s="2"/>
      <c r="L438" s="4"/>
      <c r="M438" s="5"/>
      <c r="N438" s="5"/>
      <c r="O438" s="5"/>
    </row>
    <row r="439" spans="1:15" ht="14.25" customHeight="1" x14ac:dyDescent="0.35">
      <c r="A439" s="56"/>
      <c r="C439" s="5"/>
      <c r="H439" s="5"/>
      <c r="I439" s="5"/>
      <c r="J439" s="2"/>
      <c r="K439" s="2"/>
      <c r="L439" s="4"/>
      <c r="M439" s="5"/>
      <c r="N439" s="5"/>
      <c r="O439" s="5"/>
    </row>
    <row r="440" spans="1:15" ht="14.25" customHeight="1" x14ac:dyDescent="0.35">
      <c r="A440" s="56"/>
      <c r="C440" s="5"/>
      <c r="H440" s="5"/>
      <c r="I440" s="5"/>
      <c r="J440" s="2"/>
      <c r="K440" s="2"/>
      <c r="L440" s="4"/>
      <c r="M440" s="5"/>
      <c r="N440" s="5"/>
      <c r="O440" s="5"/>
    </row>
    <row r="441" spans="1:15" ht="14.25" customHeight="1" x14ac:dyDescent="0.35">
      <c r="A441" s="56"/>
      <c r="C441" s="5"/>
      <c r="H441" s="5"/>
      <c r="I441" s="5"/>
      <c r="J441" s="2"/>
      <c r="K441" s="2"/>
      <c r="L441" s="4"/>
      <c r="M441" s="5"/>
      <c r="N441" s="5"/>
      <c r="O441" s="5"/>
    </row>
    <row r="442" spans="1:15" ht="14.25" customHeight="1" x14ac:dyDescent="0.35">
      <c r="A442" s="56"/>
      <c r="C442" s="5"/>
      <c r="H442" s="5"/>
      <c r="I442" s="5"/>
      <c r="J442" s="2"/>
      <c r="K442" s="2"/>
      <c r="L442" s="4"/>
      <c r="M442" s="5"/>
      <c r="N442" s="5"/>
      <c r="O442" s="5"/>
    </row>
    <row r="443" spans="1:15" ht="15.75" customHeight="1" x14ac:dyDescent="0.3"/>
    <row r="444" spans="1:15" ht="15.75" customHeight="1" x14ac:dyDescent="0.3"/>
    <row r="445" spans="1:15" ht="15.75" customHeight="1" x14ac:dyDescent="0.3"/>
    <row r="446" spans="1:15" ht="15.75" customHeight="1" x14ac:dyDescent="0.3"/>
    <row r="447" spans="1:15" ht="15.75" customHeight="1" x14ac:dyDescent="0.3"/>
    <row r="448" spans="1:15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</sheetData>
  <mergeCells count="1">
    <mergeCell ref="B1:I1"/>
  </mergeCells>
  <printOptions gridLines="1"/>
  <pageMargins left="0.7" right="0.7" top="0.75" bottom="0.75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Everybody Else</vt:lpstr>
      <vt:lpstr>Sold Stuff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Willcott</dc:creator>
  <cp:lastModifiedBy>Mark Willcott</cp:lastModifiedBy>
  <cp:lastPrinted>2025-12-03T20:09:41Z</cp:lastPrinted>
  <dcterms:created xsi:type="dcterms:W3CDTF">2015-06-05T18:17:20Z</dcterms:created>
  <dcterms:modified xsi:type="dcterms:W3CDTF">2026-02-05T22:07:45Z</dcterms:modified>
</cp:coreProperties>
</file>